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20s\2025\BCD2025666\BIOCHEM\CHL\"/>
    </mc:Choice>
  </mc:AlternateContent>
  <xr:revisionPtr revIDLastSave="0" documentId="13_ncr:1_{FA738FCF-9C3C-4D50-9336-2B525C7D5A9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nal Values Only" sheetId="4" r:id="rId1"/>
    <sheet name="Working sheet" sheetId="1" r:id="rId2"/>
    <sheet name="RBEDIT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  <c r="G59" i="1"/>
  <c r="F59" i="1"/>
  <c r="H58" i="1"/>
  <c r="G58" i="1"/>
  <c r="F58" i="1"/>
  <c r="H57" i="1"/>
  <c r="G57" i="1"/>
  <c r="F57" i="1"/>
  <c r="H56" i="1"/>
  <c r="G56" i="1"/>
  <c r="F56" i="1"/>
  <c r="J56" i="1" s="1"/>
  <c r="H55" i="1"/>
  <c r="G55" i="1"/>
  <c r="F55" i="1"/>
  <c r="H54" i="1"/>
  <c r="I54" i="1" s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J50" i="1" s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J40" i="1" s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J34" i="1" s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I39" i="1" l="1"/>
  <c r="J51" i="1"/>
  <c r="I52" i="1"/>
  <c r="J25" i="1"/>
  <c r="I57" i="1"/>
  <c r="I47" i="1"/>
  <c r="L47" i="1" s="1"/>
  <c r="N50" i="1"/>
  <c r="J38" i="1"/>
  <c r="I27" i="1"/>
  <c r="I24" i="1"/>
  <c r="I44" i="1"/>
  <c r="J35" i="1"/>
  <c r="N34" i="1" s="1"/>
  <c r="I56" i="1"/>
  <c r="M56" i="1" s="1"/>
  <c r="J41" i="1"/>
  <c r="N40" i="1" s="1"/>
  <c r="I43" i="1"/>
  <c r="L43" i="1" s="1"/>
  <c r="I58" i="1"/>
  <c r="M58" i="1" s="1"/>
  <c r="I55" i="1"/>
  <c r="M54" i="1" s="1"/>
  <c r="I31" i="1"/>
  <c r="I42" i="1"/>
  <c r="I32" i="1"/>
  <c r="J28" i="1"/>
  <c r="I48" i="1"/>
  <c r="L48" i="1" s="1"/>
  <c r="I35" i="1"/>
  <c r="I26" i="1"/>
  <c r="M26" i="1" s="1"/>
  <c r="I22" i="1"/>
  <c r="I23" i="1"/>
  <c r="L23" i="1" s="1"/>
  <c r="I59" i="1"/>
  <c r="M22" i="1"/>
  <c r="J37" i="1"/>
  <c r="J47" i="1"/>
  <c r="K47" i="1" s="1"/>
  <c r="J52" i="1"/>
  <c r="N52" i="1" s="1"/>
  <c r="J57" i="1"/>
  <c r="J33" i="1"/>
  <c r="J43" i="1"/>
  <c r="J48" i="1"/>
  <c r="I53" i="1"/>
  <c r="M52" i="1" s="1"/>
  <c r="J23" i="1"/>
  <c r="I28" i="1"/>
  <c r="I38" i="1"/>
  <c r="M38" i="1" s="1"/>
  <c r="J53" i="1"/>
  <c r="J58" i="1"/>
  <c r="J24" i="1"/>
  <c r="N24" i="1" s="1"/>
  <c r="J29" i="1"/>
  <c r="J39" i="1"/>
  <c r="N38" i="1" s="1"/>
  <c r="J44" i="1"/>
  <c r="I34" i="1"/>
  <c r="M34" i="1" s="1"/>
  <c r="J49" i="1"/>
  <c r="J54" i="1"/>
  <c r="J59" i="1"/>
  <c r="J30" i="1"/>
  <c r="I30" i="1"/>
  <c r="M30" i="1" s="1"/>
  <c r="J45" i="1"/>
  <c r="J55" i="1"/>
  <c r="K55" i="1" s="1"/>
  <c r="J26" i="1"/>
  <c r="I40" i="1"/>
  <c r="K40" i="1" s="1"/>
  <c r="I50" i="1"/>
  <c r="K50" i="1" s="1"/>
  <c r="J31" i="1"/>
  <c r="J36" i="1"/>
  <c r="J46" i="1"/>
  <c r="J22" i="1"/>
  <c r="N22" i="1" s="1"/>
  <c r="I36" i="1"/>
  <c r="L36" i="1" s="1"/>
  <c r="I46" i="1"/>
  <c r="M46" i="1" s="1"/>
  <c r="J27" i="1"/>
  <c r="J32" i="1"/>
  <c r="N32" i="1" s="1"/>
  <c r="J42" i="1"/>
  <c r="I51" i="1"/>
  <c r="L51" i="1" s="1"/>
  <c r="K26" i="1"/>
  <c r="L26" i="1"/>
  <c r="I25" i="1"/>
  <c r="M24" i="1" s="1"/>
  <c r="I29" i="1"/>
  <c r="I33" i="1"/>
  <c r="K35" i="1"/>
  <c r="I37" i="1"/>
  <c r="I41" i="1"/>
  <c r="I45" i="1"/>
  <c r="I49" i="1"/>
  <c r="H21" i="1"/>
  <c r="G21" i="1"/>
  <c r="F21" i="1"/>
  <c r="A8" i="1"/>
  <c r="H20" i="1"/>
  <c r="L52" i="1" l="1"/>
  <c r="M42" i="1"/>
  <c r="K43" i="1"/>
  <c r="L59" i="1"/>
  <c r="K36" i="1"/>
  <c r="K51" i="1"/>
  <c r="M44" i="1"/>
  <c r="N54" i="1"/>
  <c r="K27" i="1"/>
  <c r="K57" i="1"/>
  <c r="N42" i="1"/>
  <c r="L30" i="1"/>
  <c r="N44" i="1"/>
  <c r="K30" i="1"/>
  <c r="L57" i="1"/>
  <c r="L58" i="1"/>
  <c r="M50" i="1"/>
  <c r="M32" i="1"/>
  <c r="L31" i="1"/>
  <c r="L56" i="1"/>
  <c r="L53" i="1"/>
  <c r="M36" i="1"/>
  <c r="N28" i="1"/>
  <c r="K56" i="1"/>
  <c r="K58" i="1"/>
  <c r="K48" i="1"/>
  <c r="K53" i="1"/>
  <c r="M28" i="1"/>
  <c r="M48" i="1"/>
  <c r="L55" i="1"/>
  <c r="K22" i="1"/>
  <c r="L50" i="1"/>
  <c r="K23" i="1"/>
  <c r="L35" i="1"/>
  <c r="L42" i="1"/>
  <c r="N46" i="1"/>
  <c r="K39" i="1"/>
  <c r="K44" i="1"/>
  <c r="L27" i="1"/>
  <c r="N58" i="1"/>
  <c r="L54" i="1"/>
  <c r="M40" i="1"/>
  <c r="L39" i="1"/>
  <c r="L40" i="1"/>
  <c r="K31" i="1"/>
  <c r="L38" i="1"/>
  <c r="L34" i="1"/>
  <c r="K24" i="1"/>
  <c r="K28" i="1"/>
  <c r="L46" i="1"/>
  <c r="N36" i="1"/>
  <c r="L44" i="1"/>
  <c r="N26" i="1"/>
  <c r="K38" i="1"/>
  <c r="K34" i="1"/>
  <c r="L24" i="1"/>
  <c r="L28" i="1"/>
  <c r="K46" i="1"/>
  <c r="N48" i="1"/>
  <c r="N56" i="1"/>
  <c r="K42" i="1"/>
  <c r="K32" i="1"/>
  <c r="K54" i="1"/>
  <c r="L32" i="1"/>
  <c r="K59" i="1"/>
  <c r="K52" i="1"/>
  <c r="L22" i="1"/>
  <c r="N30" i="1"/>
  <c r="L37" i="1"/>
  <c r="K37" i="1"/>
  <c r="K29" i="1"/>
  <c r="L29" i="1"/>
  <c r="K45" i="1"/>
  <c r="L45" i="1"/>
  <c r="L49" i="1"/>
  <c r="K49" i="1"/>
  <c r="K41" i="1"/>
  <c r="L41" i="1"/>
  <c r="K33" i="1"/>
  <c r="L33" i="1"/>
  <c r="K25" i="1"/>
  <c r="L25" i="1"/>
  <c r="I21" i="1"/>
  <c r="J21" i="1"/>
  <c r="L21" i="1" s="1"/>
  <c r="G20" i="1"/>
  <c r="F20" i="1"/>
  <c r="K21" i="1" l="1"/>
  <c r="J20" i="1"/>
  <c r="I20" i="1"/>
  <c r="L20" i="1" s="1"/>
  <c r="M20" i="1"/>
  <c r="K20" i="1"/>
  <c r="N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Proudfoot, Maddison</author>
  </authors>
  <commentList>
    <comment ref="O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Proudfoot, Maddison:</t>
        </r>
        <r>
          <rPr>
            <sz val="9"/>
            <color indexed="81"/>
            <rFont val="Tahoma"/>
            <family val="2"/>
          </rPr>
          <t xml:space="preserve">
Collection date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Proudfoot, Maddison</author>
  </authors>
  <commentList>
    <comment ref="O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Proudfoot, Maddison:</t>
        </r>
        <r>
          <rPr>
            <sz val="9"/>
            <color indexed="81"/>
            <rFont val="Tahoma"/>
            <family val="2"/>
          </rPr>
          <t xml:space="preserve">
Collection date</t>
        </r>
      </text>
    </comment>
  </commentList>
</comments>
</file>

<file path=xl/sharedStrings.xml><?xml version="1.0" encoding="utf-8"?>
<sst xmlns="http://schemas.openxmlformats.org/spreadsheetml/2006/main" count="96" uniqueCount="35">
  <si>
    <t>CHLOROPHYLL CALCULATION - various programs</t>
  </si>
  <si>
    <t>BLANKS</t>
  </si>
  <si>
    <t>I.D.</t>
  </si>
  <si>
    <t>VOLUME</t>
  </si>
  <si>
    <t>RANGE</t>
  </si>
  <si>
    <t>Rb</t>
  </si>
  <si>
    <t>Ra</t>
  </si>
  <si>
    <t>CAL.COEF</t>
  </si>
  <si>
    <t>CHL.</t>
  </si>
  <si>
    <t>PHAE.</t>
  </si>
  <si>
    <t>C+P</t>
  </si>
  <si>
    <t>CHL/P.</t>
  </si>
  <si>
    <t>MEAN C</t>
  </si>
  <si>
    <t>MEAN P</t>
  </si>
  <si>
    <t>Std Filtered</t>
  </si>
  <si>
    <t xml:space="preserve">   Blk Corrected</t>
  </si>
  <si>
    <r>
      <rPr>
        <i/>
        <sz val="12"/>
        <rFont val="Arial"/>
        <family val="2"/>
      </rPr>
      <t xml:space="preserve">Turner Designs Fluorometer </t>
    </r>
    <r>
      <rPr>
        <sz val="12"/>
        <rFont val="Arial"/>
        <family val="2"/>
      </rPr>
      <t xml:space="preserve">#5129  </t>
    </r>
  </si>
  <si>
    <t>Date</t>
  </si>
  <si>
    <t>Depth (m)</t>
  </si>
  <si>
    <t>Event</t>
  </si>
  <si>
    <t xml:space="preserve"> Comments</t>
  </si>
  <si>
    <t>Range</t>
  </si>
  <si>
    <t>Rb/Ra=</t>
  </si>
  <si>
    <t>Value</t>
  </si>
  <si>
    <t>Cal.coef/Slope</t>
  </si>
  <si>
    <t xml:space="preserve">Mission: </t>
  </si>
  <si>
    <t>CALIBRATION: March 8 2024 (MP)</t>
  </si>
  <si>
    <t>.</t>
  </si>
  <si>
    <t xml:space="preserve">Mission: HL_02_ 2025 </t>
  </si>
  <si>
    <t xml:space="preserve">Turner Designs Fluorometer #5129  </t>
  </si>
  <si>
    <t>CHL_QC</t>
  </si>
  <si>
    <t>CHL_DL</t>
  </si>
  <si>
    <t>PHAE_QC</t>
  </si>
  <si>
    <t>PHAE_DL</t>
  </si>
  <si>
    <t>BCD2025666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</si>
</sst>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Font="1" applyFill="1" applyBorder="1" applyAlignment="1">
      <alignment horizontal="center"/>
    </xf>
    <xf numFmtId="1" fontId="1" fillId="0" borderId="0" xfId="1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0" borderId="0" xfId="0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8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1" fillId="0" borderId="9" xfId="0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1" fillId="2" borderId="12" xfId="0" applyFont="1" applyFill="1" applyBorder="1"/>
    <xf numFmtId="165" fontId="0" fillId="2" borderId="10" xfId="0" applyNumberFormat="1" applyFill="1" applyBorder="1" applyAlignment="1">
      <alignment horizontal="left"/>
    </xf>
    <xf numFmtId="165" fontId="0" fillId="2" borderId="11" xfId="0" applyNumberFormat="1" applyFill="1" applyBorder="1" applyAlignment="1">
      <alignment horizontal="left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7"/>
  <sheetViews>
    <sheetView zoomScale="75" zoomScaleNormal="75" workbookViewId="0">
      <selection activeCell="R8" sqref="R8"/>
    </sheetView>
  </sheetViews>
  <sheetFormatPr defaultColWidth="8.85546875" defaultRowHeight="12.75" x14ac:dyDescent="0.2"/>
  <cols>
    <col min="1" max="7" width="8.85546875" style="4"/>
    <col min="8" max="8" width="9.85546875" style="12" bestFit="1" customWidth="1"/>
    <col min="9" max="9" width="8.85546875" style="22"/>
    <col min="10" max="12" width="8.85546875" style="4"/>
    <col min="13" max="14" width="8.85546875" style="28"/>
    <col min="15" max="15" width="16.85546875" style="4" bestFit="1" customWidth="1"/>
    <col min="16" max="16" width="11.5703125" style="22" bestFit="1" customWidth="1"/>
    <col min="17" max="17" width="8.85546875" style="4"/>
    <col min="18" max="18" width="40" style="4" bestFit="1" customWidth="1"/>
    <col min="19" max="16384" width="8.85546875" style="4"/>
  </cols>
  <sheetData>
    <row r="1" spans="1:20" customFormat="1" ht="15.75" x14ac:dyDescent="0.25">
      <c r="A1" s="14" t="s">
        <v>25</v>
      </c>
      <c r="G1" s="11"/>
      <c r="H1" s="8"/>
      <c r="L1" s="29"/>
      <c r="M1" s="29"/>
      <c r="N1" s="4"/>
      <c r="O1" s="17"/>
      <c r="P1" s="21"/>
    </row>
    <row r="2" spans="1:20" customFormat="1" ht="15.75" x14ac:dyDescent="0.25">
      <c r="A2" s="14" t="s">
        <v>0</v>
      </c>
      <c r="H2" s="11"/>
      <c r="I2" s="8"/>
      <c r="M2" s="29"/>
      <c r="N2" s="29"/>
      <c r="O2" s="4"/>
      <c r="P2" s="17"/>
      <c r="Q2" s="21"/>
    </row>
    <row r="3" spans="1:20" customFormat="1" ht="15" x14ac:dyDescent="0.2">
      <c r="A3" s="13" t="s">
        <v>16</v>
      </c>
      <c r="H3" s="11"/>
      <c r="I3" s="8"/>
      <c r="M3" s="29"/>
      <c r="N3" s="29"/>
      <c r="O3" s="4"/>
      <c r="P3" s="17"/>
      <c r="Q3" s="21"/>
    </row>
    <row r="4" spans="1:20" customFormat="1" ht="15" x14ac:dyDescent="0.2">
      <c r="A4" s="13" t="s">
        <v>26</v>
      </c>
      <c r="H4" s="11"/>
      <c r="I4" s="8"/>
      <c r="M4" s="29"/>
      <c r="N4" s="29"/>
      <c r="O4" s="4"/>
      <c r="P4" s="17"/>
      <c r="Q4" s="21"/>
    </row>
    <row r="5" spans="1:20" customFormat="1" x14ac:dyDescent="0.2">
      <c r="A5" s="1"/>
      <c r="C5" s="4"/>
      <c r="F5" s="12"/>
      <c r="H5" s="11"/>
      <c r="I5" s="8"/>
      <c r="M5" s="28"/>
      <c r="N5" s="28"/>
      <c r="O5" s="4"/>
      <c r="P5" s="17"/>
      <c r="Q5" s="19"/>
      <c r="R5" s="4"/>
      <c r="S5" s="4"/>
      <c r="T5" s="4"/>
    </row>
    <row r="6" spans="1:20" customFormat="1" x14ac:dyDescent="0.2">
      <c r="A6" s="1"/>
      <c r="B6" s="8" t="s">
        <v>14</v>
      </c>
      <c r="C6" s="4"/>
      <c r="F6" s="8" t="s">
        <v>15</v>
      </c>
      <c r="H6" s="12"/>
      <c r="I6" s="8"/>
      <c r="M6" s="28"/>
      <c r="N6" s="28"/>
      <c r="O6" s="4"/>
      <c r="P6" s="17"/>
      <c r="Q6" s="19"/>
      <c r="R6" s="4"/>
      <c r="S6" s="2"/>
      <c r="T6" s="5"/>
    </row>
    <row r="7" spans="1:20" s="34" customFormat="1" ht="13.5" thickBot="1" x14ac:dyDescent="0.25">
      <c r="A7" s="30" t="s">
        <v>2</v>
      </c>
      <c r="B7" s="31" t="s">
        <v>3</v>
      </c>
      <c r="C7" s="31" t="s">
        <v>4</v>
      </c>
      <c r="D7" s="31" t="s">
        <v>5</v>
      </c>
      <c r="E7" s="31" t="s">
        <v>6</v>
      </c>
      <c r="F7" s="31" t="s">
        <v>5</v>
      </c>
      <c r="G7" s="31" t="s">
        <v>6</v>
      </c>
      <c r="H7" s="31" t="s">
        <v>7</v>
      </c>
      <c r="I7" s="31" t="s">
        <v>8</v>
      </c>
      <c r="J7" s="31" t="s">
        <v>9</v>
      </c>
      <c r="K7" s="31" t="s">
        <v>10</v>
      </c>
      <c r="L7" s="31" t="s">
        <v>11</v>
      </c>
      <c r="M7" s="25" t="s">
        <v>12</v>
      </c>
      <c r="N7" s="25" t="s">
        <v>13</v>
      </c>
      <c r="O7" s="26" t="s">
        <v>17</v>
      </c>
      <c r="P7" s="27" t="s">
        <v>18</v>
      </c>
      <c r="Q7" s="32" t="s">
        <v>19</v>
      </c>
      <c r="R7" s="26" t="s">
        <v>20</v>
      </c>
      <c r="S7" s="33"/>
      <c r="T7" s="33"/>
    </row>
    <row r="8" spans="1:20" s="12" customFormat="1" x14ac:dyDescent="0.2">
      <c r="A8" s="35">
        <v>513135</v>
      </c>
      <c r="B8" s="35">
        <v>100</v>
      </c>
      <c r="C8" s="35">
        <v>8</v>
      </c>
      <c r="D8" s="35">
        <v>1.7</v>
      </c>
      <c r="E8" s="35">
        <v>1.1499999999999999</v>
      </c>
      <c r="F8" s="35">
        <v>1.7</v>
      </c>
      <c r="G8" s="35">
        <v>1.1499999999999999</v>
      </c>
      <c r="H8" s="35">
        <v>3.913065884837013E-3</v>
      </c>
      <c r="I8" s="35">
        <v>3.869538803417745E-2</v>
      </c>
      <c r="J8" s="35">
        <v>6.2699192560542252E-2</v>
      </c>
      <c r="K8" s="35">
        <v>0.1013945805947197</v>
      </c>
      <c r="L8" s="35">
        <v>0.61715927197648102</v>
      </c>
      <c r="M8" s="60">
        <v>4.0454269308458232E-2</v>
      </c>
      <c r="N8" s="60">
        <v>6.9757231337976233E-2</v>
      </c>
      <c r="O8" s="61"/>
      <c r="P8" s="18"/>
      <c r="Q8" s="19"/>
    </row>
    <row r="9" spans="1:20" x14ac:dyDescent="0.2">
      <c r="B9" s="4">
        <v>100</v>
      </c>
      <c r="C9" s="4">
        <v>8</v>
      </c>
      <c r="D9" s="4">
        <v>1.95</v>
      </c>
      <c r="E9" s="4">
        <v>1.35</v>
      </c>
      <c r="F9" s="4">
        <v>1.95</v>
      </c>
      <c r="G9" s="4">
        <v>1.35</v>
      </c>
      <c r="H9" s="12">
        <v>3.913065884837013E-3</v>
      </c>
      <c r="I9" s="22">
        <v>4.2213150582739022E-2</v>
      </c>
      <c r="J9" s="4">
        <v>7.6815270115410228E-2</v>
      </c>
      <c r="K9" s="4">
        <v>0.11902842069814926</v>
      </c>
      <c r="L9" s="4">
        <v>0.54954113315381636</v>
      </c>
      <c r="O9" s="9"/>
      <c r="P9" s="17"/>
      <c r="Q9" s="19"/>
    </row>
    <row r="10" spans="1:20" x14ac:dyDescent="0.2">
      <c r="A10" s="4">
        <v>513136</v>
      </c>
      <c r="B10" s="4">
        <v>100</v>
      </c>
      <c r="C10" s="4">
        <v>8</v>
      </c>
      <c r="D10" s="4">
        <v>1.6</v>
      </c>
      <c r="E10" s="4">
        <v>1.1499999999999999</v>
      </c>
      <c r="F10" s="4">
        <v>1.6</v>
      </c>
      <c r="G10" s="4">
        <v>1.1499999999999999</v>
      </c>
      <c r="H10" s="12">
        <v>3.913065884837013E-3</v>
      </c>
      <c r="I10" s="22">
        <v>3.1659862937054285E-2</v>
      </c>
      <c r="J10" s="4">
        <v>6.973471765766541E-2</v>
      </c>
      <c r="K10" s="4">
        <v>0.1013945805947197</v>
      </c>
      <c r="L10" s="4">
        <v>0.45400431808551472</v>
      </c>
      <c r="M10" s="28">
        <v>4.2213150582739029E-2</v>
      </c>
      <c r="N10" s="28">
        <v>6.579412005076675E-2</v>
      </c>
    </row>
    <row r="11" spans="1:20" x14ac:dyDescent="0.2">
      <c r="B11" s="4">
        <v>100</v>
      </c>
      <c r="C11" s="4">
        <v>8</v>
      </c>
      <c r="D11" s="4">
        <v>2.0499999999999998</v>
      </c>
      <c r="E11" s="4">
        <v>1.3</v>
      </c>
      <c r="F11" s="4">
        <v>2.0499999999999998</v>
      </c>
      <c r="G11" s="4">
        <v>1.3</v>
      </c>
      <c r="H11" s="12">
        <v>3.913065884837013E-3</v>
      </c>
      <c r="I11" s="22">
        <v>5.2766438228423765E-2</v>
      </c>
      <c r="J11" s="4">
        <v>6.1853522443868096E-2</v>
      </c>
      <c r="K11" s="4">
        <v>0.11461996067229185</v>
      </c>
      <c r="L11" s="4">
        <v>0.85308703762682492</v>
      </c>
    </row>
    <row r="12" spans="1:20" x14ac:dyDescent="0.2">
      <c r="A12" s="4">
        <v>513137</v>
      </c>
      <c r="B12" s="4">
        <v>100</v>
      </c>
      <c r="C12" s="4">
        <v>8</v>
      </c>
      <c r="D12" s="4">
        <v>2.15</v>
      </c>
      <c r="E12" s="4">
        <v>1.4</v>
      </c>
      <c r="F12" s="4">
        <v>2.15</v>
      </c>
      <c r="G12" s="4">
        <v>1.4</v>
      </c>
      <c r="H12" s="12">
        <v>3.913065884837013E-3</v>
      </c>
      <c r="I12" s="22">
        <v>5.2766438228423779E-2</v>
      </c>
      <c r="J12" s="4">
        <v>7.0670442495582811E-2</v>
      </c>
      <c r="K12" s="4">
        <v>0.12343688072400659</v>
      </c>
      <c r="L12" s="4">
        <v>0.74665498566422439</v>
      </c>
      <c r="M12" s="28">
        <v>4.3972031857019818E-2</v>
      </c>
      <c r="N12" s="28">
        <v>7.0647928815272015E-2</v>
      </c>
    </row>
    <row r="13" spans="1:20" x14ac:dyDescent="0.2">
      <c r="B13" s="4">
        <v>100</v>
      </c>
      <c r="C13" s="4">
        <v>8</v>
      </c>
      <c r="D13" s="4">
        <v>1.7</v>
      </c>
      <c r="E13" s="4">
        <v>1.2</v>
      </c>
      <c r="F13" s="4">
        <v>1.7</v>
      </c>
      <c r="G13" s="4">
        <v>1.2</v>
      </c>
      <c r="H13" s="12">
        <v>3.913065884837013E-3</v>
      </c>
      <c r="I13" s="22">
        <v>3.5177625485615857E-2</v>
      </c>
      <c r="J13" s="4">
        <v>7.062541513496122E-2</v>
      </c>
      <c r="K13" s="4">
        <v>0.10580304062057708</v>
      </c>
      <c r="L13" s="4">
        <v>0.49808734459674864</v>
      </c>
    </row>
    <row r="14" spans="1:20" x14ac:dyDescent="0.2">
      <c r="A14" s="4">
        <v>513138</v>
      </c>
      <c r="B14" s="4">
        <v>100</v>
      </c>
      <c r="C14" s="4">
        <v>8</v>
      </c>
      <c r="D14" s="4">
        <v>2.35</v>
      </c>
      <c r="E14" s="4">
        <v>1.55</v>
      </c>
      <c r="F14" s="4">
        <v>2.35</v>
      </c>
      <c r="G14" s="4">
        <v>1.55</v>
      </c>
      <c r="H14" s="12">
        <v>3.913065884837013E-3</v>
      </c>
      <c r="I14" s="22">
        <v>5.6284200776985378E-2</v>
      </c>
      <c r="J14" s="4">
        <v>8.037806002459337E-2</v>
      </c>
      <c r="K14" s="4">
        <v>0.13666226080157876</v>
      </c>
      <c r="L14" s="4">
        <v>0.70024333455875942</v>
      </c>
      <c r="M14" s="28">
        <v>8.9702944988320446E-2</v>
      </c>
      <c r="N14" s="28">
        <v>7.7818535994259946E-2</v>
      </c>
    </row>
    <row r="15" spans="1:20" x14ac:dyDescent="0.2">
      <c r="B15" s="4">
        <v>100</v>
      </c>
      <c r="C15" s="4">
        <v>8</v>
      </c>
      <c r="D15" s="4">
        <v>4</v>
      </c>
      <c r="E15" s="4">
        <v>2.25</v>
      </c>
      <c r="F15" s="4">
        <v>4</v>
      </c>
      <c r="G15" s="4">
        <v>2.25</v>
      </c>
      <c r="H15" s="12">
        <v>3.913065884837013E-3</v>
      </c>
      <c r="I15" s="22">
        <v>0.12312168919965551</v>
      </c>
      <c r="J15" s="4">
        <v>7.5259011963926523E-2</v>
      </c>
      <c r="K15" s="4">
        <v>0.19838070116358203</v>
      </c>
      <c r="L15" s="4">
        <v>1.6359727026269058</v>
      </c>
    </row>
    <row r="16" spans="1:20" x14ac:dyDescent="0.2">
      <c r="A16" s="4">
        <v>513139</v>
      </c>
      <c r="B16" s="4">
        <v>100</v>
      </c>
      <c r="C16" s="4">
        <v>8</v>
      </c>
      <c r="D16" s="4">
        <v>6.5</v>
      </c>
      <c r="E16" s="4">
        <v>3.55</v>
      </c>
      <c r="F16" s="4">
        <v>6.5</v>
      </c>
      <c r="G16" s="4">
        <v>3.55</v>
      </c>
      <c r="H16" s="12">
        <v>3.913065884837013E-3</v>
      </c>
      <c r="I16" s="22">
        <v>0.20754799036513355</v>
      </c>
      <c r="J16" s="4">
        <v>0.10545267147074031</v>
      </c>
      <c r="K16" s="4">
        <v>0.31300066183587383</v>
      </c>
      <c r="L16" s="4">
        <v>1.9681624701439773</v>
      </c>
      <c r="M16" s="28">
        <v>0.20930687163941436</v>
      </c>
      <c r="N16" s="28">
        <v>9.7081100157673433E-2</v>
      </c>
    </row>
    <row r="17" spans="1:14" x14ac:dyDescent="0.2">
      <c r="B17" s="4">
        <v>100</v>
      </c>
      <c r="C17" s="4">
        <v>8</v>
      </c>
      <c r="D17" s="4">
        <v>6.4</v>
      </c>
      <c r="E17" s="4">
        <v>3.4</v>
      </c>
      <c r="F17" s="4">
        <v>6.4</v>
      </c>
      <c r="G17" s="4">
        <v>3.4</v>
      </c>
      <c r="H17" s="12">
        <v>3.913065884837013E-3</v>
      </c>
      <c r="I17" s="22">
        <v>0.21106575291369517</v>
      </c>
      <c r="J17" s="4">
        <v>8.8709528844606547E-2</v>
      </c>
      <c r="K17" s="4">
        <v>0.2997752817583017</v>
      </c>
      <c r="L17" s="4">
        <v>2.3792906541463132</v>
      </c>
    </row>
    <row r="18" spans="1:14" x14ac:dyDescent="0.2">
      <c r="A18" s="4">
        <v>513140</v>
      </c>
      <c r="B18" s="4">
        <v>100</v>
      </c>
      <c r="C18" s="4">
        <v>8</v>
      </c>
      <c r="D18" s="4">
        <v>7.15</v>
      </c>
      <c r="E18" s="4">
        <v>3.85</v>
      </c>
      <c r="F18" s="4">
        <v>7.15</v>
      </c>
      <c r="G18" s="4">
        <v>3.85</v>
      </c>
      <c r="H18" s="12">
        <v>3.913065884837013E-3</v>
      </c>
      <c r="I18" s="22">
        <v>0.2321723282050647</v>
      </c>
      <c r="J18" s="4">
        <v>0.10727909378595347</v>
      </c>
      <c r="K18" s="4">
        <v>0.33945142199101819</v>
      </c>
      <c r="L18" s="4">
        <v>2.1641898715914025</v>
      </c>
      <c r="M18" s="28">
        <v>0.23569009075362629</v>
      </c>
      <c r="N18" s="28">
        <v>0.11478248130203535</v>
      </c>
    </row>
    <row r="19" spans="1:14" x14ac:dyDescent="0.2">
      <c r="B19" s="4">
        <v>100</v>
      </c>
      <c r="C19" s="4">
        <v>8</v>
      </c>
      <c r="D19" s="4">
        <v>7.5</v>
      </c>
      <c r="E19" s="4">
        <v>4.0999999999999996</v>
      </c>
      <c r="F19" s="4">
        <v>7.5</v>
      </c>
      <c r="G19" s="4">
        <v>4.0999999999999996</v>
      </c>
      <c r="H19" s="12">
        <v>3.913065884837013E-3</v>
      </c>
      <c r="I19" s="22">
        <v>0.23920785330218788</v>
      </c>
      <c r="J19" s="4">
        <v>0.12228586881811722</v>
      </c>
      <c r="K19" s="4">
        <v>0.36149372212030512</v>
      </c>
      <c r="L19" s="4">
        <v>1.9561365153153996</v>
      </c>
    </row>
    <row r="20" spans="1:14" x14ac:dyDescent="0.2">
      <c r="A20" s="4">
        <v>513141</v>
      </c>
      <c r="B20" s="4">
        <v>100</v>
      </c>
      <c r="C20" s="4">
        <v>7</v>
      </c>
      <c r="D20" s="4">
        <v>4</v>
      </c>
      <c r="E20" s="4">
        <v>1.95</v>
      </c>
      <c r="F20" s="4">
        <v>4</v>
      </c>
      <c r="G20" s="4">
        <v>1.95</v>
      </c>
      <c r="H20" s="12">
        <v>1.1969109850497893E-2</v>
      </c>
      <c r="I20" s="22">
        <v>0.44115892551899777</v>
      </c>
      <c r="J20" s="4">
        <v>8.4732641626268312E-2</v>
      </c>
      <c r="K20" s="4">
        <v>0.52589156714526608</v>
      </c>
      <c r="L20" s="4">
        <v>5.2064814344491328</v>
      </c>
      <c r="M20" s="28">
        <v>0.38197906965669315</v>
      </c>
      <c r="N20" s="28">
        <v>0.10345930001586016</v>
      </c>
    </row>
    <row r="21" spans="1:14" x14ac:dyDescent="0.2">
      <c r="B21" s="4">
        <v>100</v>
      </c>
      <c r="C21" s="4">
        <v>7</v>
      </c>
      <c r="D21" s="4">
        <v>3.15</v>
      </c>
      <c r="E21" s="4">
        <v>1.65</v>
      </c>
      <c r="F21" s="4">
        <v>3.15</v>
      </c>
      <c r="G21" s="4">
        <v>1.65</v>
      </c>
      <c r="H21" s="12">
        <v>1.1969109850497893E-2</v>
      </c>
      <c r="I21" s="22">
        <v>0.32279921379438858</v>
      </c>
      <c r="J21" s="4">
        <v>0.12218595840545202</v>
      </c>
      <c r="K21" s="4">
        <v>0.44498517219984057</v>
      </c>
      <c r="L21" s="4">
        <v>2.6418683292824676</v>
      </c>
    </row>
    <row r="22" spans="1:14" x14ac:dyDescent="0.2">
      <c r="A22" s="4">
        <v>513142</v>
      </c>
      <c r="B22" s="4">
        <v>100</v>
      </c>
      <c r="C22" s="4">
        <v>7</v>
      </c>
      <c r="D22" s="4">
        <v>3.7</v>
      </c>
      <c r="E22" s="4">
        <v>1.9</v>
      </c>
      <c r="F22" s="4">
        <v>3.7</v>
      </c>
      <c r="G22" s="4">
        <v>1.9</v>
      </c>
      <c r="H22" s="12">
        <v>1.1969109850497893E-2</v>
      </c>
      <c r="I22" s="22">
        <v>0.38735905655326641</v>
      </c>
      <c r="J22" s="4">
        <v>0.12504811143442882</v>
      </c>
      <c r="K22" s="4">
        <v>0.51240716798769526</v>
      </c>
      <c r="L22" s="4">
        <v>3.0976801817305732</v>
      </c>
      <c r="M22" s="28">
        <v>0.40887900413955891</v>
      </c>
      <c r="N22" s="28">
        <v>9.6785964269350822E-2</v>
      </c>
    </row>
    <row r="23" spans="1:14" x14ac:dyDescent="0.2">
      <c r="B23" s="4">
        <v>100</v>
      </c>
      <c r="C23" s="4">
        <v>7</v>
      </c>
      <c r="D23" s="4">
        <v>3.85</v>
      </c>
      <c r="E23" s="4">
        <v>1.85</v>
      </c>
      <c r="F23" s="4">
        <v>3.85</v>
      </c>
      <c r="G23" s="4">
        <v>1.85</v>
      </c>
      <c r="H23" s="12">
        <v>1.1969109850497893E-2</v>
      </c>
      <c r="I23" s="22">
        <v>0.43039895172585146</v>
      </c>
      <c r="J23" s="4">
        <v>6.8523817104272813E-2</v>
      </c>
      <c r="K23" s="4">
        <v>0.49892276883012426</v>
      </c>
      <c r="L23" s="4">
        <v>6.2810124992148735</v>
      </c>
    </row>
    <row r="24" spans="1:14" x14ac:dyDescent="0.2">
      <c r="A24" s="4">
        <v>513143</v>
      </c>
      <c r="B24" s="4">
        <v>100</v>
      </c>
      <c r="C24" s="4">
        <v>7</v>
      </c>
      <c r="D24" s="4">
        <v>2.75</v>
      </c>
      <c r="E24" s="4">
        <v>1.45</v>
      </c>
      <c r="F24" s="4">
        <v>2.75</v>
      </c>
      <c r="G24" s="4">
        <v>1.45</v>
      </c>
      <c r="H24" s="12">
        <v>1.1969109850497893E-2</v>
      </c>
      <c r="I24" s="22">
        <v>0.27975931862180348</v>
      </c>
      <c r="J24" s="4">
        <v>0.11128825694775339</v>
      </c>
      <c r="K24" s="4">
        <v>0.39104757556955688</v>
      </c>
      <c r="L24" s="4">
        <v>2.5138260432378088</v>
      </c>
      <c r="M24" s="28">
        <v>0.28513930551837663</v>
      </c>
      <c r="N24" s="28">
        <v>0.12613486878753671</v>
      </c>
    </row>
    <row r="25" spans="1:14" x14ac:dyDescent="0.2">
      <c r="B25" s="4">
        <v>100</v>
      </c>
      <c r="C25" s="4">
        <v>7</v>
      </c>
      <c r="D25" s="4">
        <v>2.95</v>
      </c>
      <c r="E25" s="4">
        <v>1.6</v>
      </c>
      <c r="F25" s="4">
        <v>2.95</v>
      </c>
      <c r="G25" s="4">
        <v>1.6</v>
      </c>
      <c r="H25" s="12">
        <v>1.1969109850497893E-2</v>
      </c>
      <c r="I25" s="22">
        <v>0.29051929241494978</v>
      </c>
      <c r="J25" s="4">
        <v>0.14098148062732002</v>
      </c>
      <c r="K25" s="4">
        <v>0.4315007730422698</v>
      </c>
      <c r="L25" s="4">
        <v>2.060691171083159</v>
      </c>
    </row>
    <row r="26" spans="1:14" x14ac:dyDescent="0.2">
      <c r="A26" s="4">
        <v>513144</v>
      </c>
      <c r="B26" s="4">
        <v>100</v>
      </c>
      <c r="C26" s="4">
        <v>7</v>
      </c>
      <c r="D26" s="4">
        <v>3.65</v>
      </c>
      <c r="E26" s="4">
        <v>1.75</v>
      </c>
      <c r="F26" s="4">
        <v>3.65</v>
      </c>
      <c r="G26" s="4">
        <v>1.75</v>
      </c>
      <c r="H26" s="12">
        <v>1.1969109850497893E-2</v>
      </c>
      <c r="I26" s="22">
        <v>0.40887900413955891</v>
      </c>
      <c r="J26" s="4">
        <v>6.3074966375423439E-2</v>
      </c>
      <c r="K26" s="4">
        <v>0.47195397051498233</v>
      </c>
      <c r="L26" s="4">
        <v>6.4824292050494812</v>
      </c>
      <c r="M26" s="28">
        <v>0.44115892551899782</v>
      </c>
      <c r="N26" s="28">
        <v>7.124824246869732E-2</v>
      </c>
    </row>
    <row r="27" spans="1:14" x14ac:dyDescent="0.2">
      <c r="A27" s="4" t="s">
        <v>27</v>
      </c>
      <c r="B27" s="4">
        <v>100</v>
      </c>
      <c r="C27" s="4">
        <v>7</v>
      </c>
      <c r="D27" s="4">
        <v>4.25</v>
      </c>
      <c r="E27" s="4">
        <v>2.0499999999999998</v>
      </c>
      <c r="F27" s="4">
        <v>4.25</v>
      </c>
      <c r="G27" s="4">
        <v>2.0499999999999998</v>
      </c>
      <c r="H27" s="12">
        <v>1.1969109850497893E-2</v>
      </c>
      <c r="I27" s="22">
        <v>0.47343884689843668</v>
      </c>
      <c r="J27" s="4">
        <v>7.9421518561971216E-2</v>
      </c>
      <c r="K27" s="4">
        <v>0.55286036546040784</v>
      </c>
      <c r="L27" s="4">
        <v>5.9610903376144924</v>
      </c>
    </row>
    <row r="28" spans="1:14" x14ac:dyDescent="0.2">
      <c r="A28" s="4">
        <v>513147</v>
      </c>
      <c r="B28" s="4">
        <v>100</v>
      </c>
      <c r="C28" s="4">
        <v>8</v>
      </c>
      <c r="D28" s="4">
        <v>1.5</v>
      </c>
      <c r="E28" s="4">
        <v>0.95</v>
      </c>
      <c r="F28" s="4">
        <v>1.5</v>
      </c>
      <c r="G28" s="4">
        <v>0.95</v>
      </c>
      <c r="H28" s="12">
        <v>3.913065884837013E-3</v>
      </c>
      <c r="I28" s="22">
        <v>3.869538803417745E-2</v>
      </c>
      <c r="J28" s="4">
        <v>4.5065352457112733E-2</v>
      </c>
      <c r="K28" s="4">
        <v>8.3760740491290175E-2</v>
      </c>
      <c r="L28" s="4">
        <v>0.85865051362912614</v>
      </c>
      <c r="M28" s="28">
        <v>3.6936506759896653E-2</v>
      </c>
      <c r="N28" s="28">
        <v>5.3436923770179612E-2</v>
      </c>
    </row>
    <row r="29" spans="1:14" x14ac:dyDescent="0.2">
      <c r="B29" s="4">
        <v>100</v>
      </c>
      <c r="C29" s="4">
        <v>8</v>
      </c>
      <c r="D29" s="4">
        <v>1.6</v>
      </c>
      <c r="E29" s="4">
        <v>1.1000000000000001</v>
      </c>
      <c r="F29" s="4">
        <v>1.6</v>
      </c>
      <c r="G29" s="4">
        <v>1.1000000000000001</v>
      </c>
      <c r="H29" s="12">
        <v>3.913065884837013E-3</v>
      </c>
      <c r="I29" s="22">
        <v>3.5177625485615857E-2</v>
      </c>
      <c r="J29" s="4">
        <v>6.1808495083246491E-2</v>
      </c>
      <c r="K29" s="4">
        <v>9.6986120568862355E-2</v>
      </c>
      <c r="L29" s="4">
        <v>0.56913900651095017</v>
      </c>
    </row>
    <row r="30" spans="1:14" x14ac:dyDescent="0.2">
      <c r="A30" s="4">
        <v>513148</v>
      </c>
      <c r="B30" s="4">
        <v>100</v>
      </c>
      <c r="C30" s="4">
        <v>8</v>
      </c>
      <c r="D30" s="4">
        <v>2.2999999999999998</v>
      </c>
      <c r="E30" s="4">
        <v>1.55</v>
      </c>
      <c r="F30" s="4">
        <v>2.2999999999999998</v>
      </c>
      <c r="G30" s="4">
        <v>1.55</v>
      </c>
      <c r="H30" s="12">
        <v>3.913065884837013E-3</v>
      </c>
      <c r="I30" s="22">
        <v>5.2766438228423765E-2</v>
      </c>
      <c r="J30" s="4">
        <v>8.3895822573154991E-2</v>
      </c>
      <c r="K30" s="4">
        <v>0.13666226080157876</v>
      </c>
      <c r="L30" s="4">
        <v>0.6289519145296274</v>
      </c>
      <c r="M30" s="28">
        <v>6.3319725874108529E-2</v>
      </c>
      <c r="N30" s="28">
        <v>7.5546764940398928E-2</v>
      </c>
    </row>
    <row r="31" spans="1:14" x14ac:dyDescent="0.2">
      <c r="B31" s="4">
        <v>100</v>
      </c>
      <c r="C31" s="4">
        <v>8</v>
      </c>
      <c r="D31" s="4">
        <v>2.65</v>
      </c>
      <c r="E31" s="4">
        <v>1.6</v>
      </c>
      <c r="F31" s="4">
        <v>2.65</v>
      </c>
      <c r="G31" s="4">
        <v>1.6</v>
      </c>
      <c r="H31" s="12">
        <v>3.913065884837013E-3</v>
      </c>
      <c r="I31" s="22">
        <v>7.3873013519793293E-2</v>
      </c>
      <c r="J31" s="4">
        <v>6.7197707307642865E-2</v>
      </c>
      <c r="K31" s="4">
        <v>0.14107072082743616</v>
      </c>
      <c r="L31" s="4">
        <v>1.0993383030404551</v>
      </c>
    </row>
    <row r="32" spans="1:14" x14ac:dyDescent="0.2">
      <c r="A32" s="4">
        <v>513149</v>
      </c>
      <c r="B32" s="4">
        <v>100</v>
      </c>
      <c r="C32" s="4">
        <v>8</v>
      </c>
      <c r="D32" s="4">
        <v>2.25</v>
      </c>
      <c r="E32" s="4">
        <v>1.45</v>
      </c>
      <c r="F32" s="4">
        <v>2.25</v>
      </c>
      <c r="G32" s="4">
        <v>1.45</v>
      </c>
      <c r="H32" s="12">
        <v>3.913065884837013E-3</v>
      </c>
      <c r="I32" s="22">
        <v>5.6284200776985378E-2</v>
      </c>
      <c r="J32" s="4">
        <v>7.1561139972878635E-2</v>
      </c>
      <c r="K32" s="4">
        <v>0.12784534074986401</v>
      </c>
      <c r="L32" s="4">
        <v>0.78651906325579568</v>
      </c>
      <c r="M32" s="28">
        <v>7.3873013519793307E-2</v>
      </c>
      <c r="N32" s="28">
        <v>6.4993477294714122E-2</v>
      </c>
    </row>
    <row r="33" spans="1:14" x14ac:dyDescent="0.2">
      <c r="B33" s="4">
        <v>100</v>
      </c>
      <c r="C33" s="4">
        <v>8</v>
      </c>
      <c r="D33" s="4">
        <v>3</v>
      </c>
      <c r="E33" s="4">
        <v>1.7</v>
      </c>
      <c r="F33" s="4">
        <v>3</v>
      </c>
      <c r="G33" s="4">
        <v>1.7</v>
      </c>
      <c r="H33" s="12">
        <v>3.913065884837013E-3</v>
      </c>
      <c r="I33" s="22">
        <v>9.1461826262601228E-2</v>
      </c>
      <c r="J33" s="4">
        <v>5.8425814616549616E-2</v>
      </c>
      <c r="K33" s="4">
        <v>0.14988764087915085</v>
      </c>
      <c r="L33" s="4">
        <v>1.5654351909830946</v>
      </c>
    </row>
    <row r="34" spans="1:14" x14ac:dyDescent="0.2">
      <c r="A34" s="4">
        <v>513150</v>
      </c>
      <c r="B34" s="4">
        <v>100</v>
      </c>
      <c r="C34" s="4">
        <v>8</v>
      </c>
      <c r="D34" s="4">
        <v>3.45</v>
      </c>
      <c r="E34" s="4">
        <v>2.0499999999999998</v>
      </c>
      <c r="F34" s="4">
        <v>3.45</v>
      </c>
      <c r="G34" s="4">
        <v>2.0499999999999998</v>
      </c>
      <c r="H34" s="12">
        <v>3.913065884837013E-3</v>
      </c>
      <c r="I34" s="22">
        <v>9.8497351359724414E-2</v>
      </c>
      <c r="J34" s="4">
        <v>8.2249509700428089E-2</v>
      </c>
      <c r="K34" s="4">
        <v>0.1807468610601525</v>
      </c>
      <c r="L34" s="4">
        <v>1.197543325406738</v>
      </c>
      <c r="M34" s="28">
        <v>0.13015721429677868</v>
      </c>
      <c r="N34" s="28">
        <v>7.2631946892660726E-2</v>
      </c>
    </row>
    <row r="35" spans="1:14" x14ac:dyDescent="0.2">
      <c r="B35" s="4">
        <v>100</v>
      </c>
      <c r="C35" s="4">
        <v>8</v>
      </c>
      <c r="D35" s="4">
        <v>4.8499999999999996</v>
      </c>
      <c r="E35" s="4">
        <v>2.5499999999999998</v>
      </c>
      <c r="F35" s="4">
        <v>4.8499999999999996</v>
      </c>
      <c r="G35" s="4">
        <v>2.5499999999999998</v>
      </c>
      <c r="H35" s="12">
        <v>3.913065884837013E-3</v>
      </c>
      <c r="I35" s="22">
        <v>0.16181707723383293</v>
      </c>
      <c r="J35" s="4">
        <v>6.3014384084893363E-2</v>
      </c>
      <c r="K35" s="4">
        <v>0.22483146131872628</v>
      </c>
      <c r="L35" s="4">
        <v>2.5679387267489906</v>
      </c>
    </row>
    <row r="36" spans="1:14" x14ac:dyDescent="0.2">
      <c r="A36" s="4">
        <v>513151</v>
      </c>
      <c r="B36" s="4">
        <v>100</v>
      </c>
      <c r="C36" s="4">
        <v>8</v>
      </c>
      <c r="D36" s="4">
        <v>5.25</v>
      </c>
      <c r="E36" s="4">
        <v>2.65</v>
      </c>
      <c r="F36" s="4">
        <v>5.25</v>
      </c>
      <c r="G36" s="4">
        <v>2.65</v>
      </c>
      <c r="H36" s="12">
        <v>3.913065884837013E-3</v>
      </c>
      <c r="I36" s="22">
        <v>0.18292365252520246</v>
      </c>
      <c r="J36" s="4">
        <v>5.0724728845238619E-2</v>
      </c>
      <c r="K36" s="4">
        <v>0.23364838137044108</v>
      </c>
      <c r="L36" s="4">
        <v>3.6062026685899764</v>
      </c>
      <c r="M36" s="28">
        <v>0.18468253379948327</v>
      </c>
      <c r="N36" s="28">
        <v>5.5578537609743878E-2</v>
      </c>
    </row>
    <row r="37" spans="1:14" x14ac:dyDescent="0.2">
      <c r="B37" s="4">
        <v>100</v>
      </c>
      <c r="C37" s="4">
        <v>8</v>
      </c>
      <c r="D37" s="4">
        <v>5.45</v>
      </c>
      <c r="E37" s="4">
        <v>2.8</v>
      </c>
      <c r="F37" s="4">
        <v>5.45</v>
      </c>
      <c r="G37" s="4">
        <v>2.8</v>
      </c>
      <c r="H37" s="12">
        <v>3.913065884837013E-3</v>
      </c>
      <c r="I37" s="22">
        <v>0.18644141507376408</v>
      </c>
      <c r="J37" s="4">
        <v>6.0432346374249137E-2</v>
      </c>
      <c r="K37" s="4">
        <v>0.24687376144801321</v>
      </c>
      <c r="L37" s="4">
        <v>3.085126199124526</v>
      </c>
    </row>
    <row r="38" spans="1:14" x14ac:dyDescent="0.2">
      <c r="A38" s="4">
        <v>513152</v>
      </c>
      <c r="B38" s="4">
        <v>100</v>
      </c>
      <c r="C38" s="4">
        <v>8</v>
      </c>
      <c r="D38" s="4">
        <v>5.5</v>
      </c>
      <c r="E38" s="4">
        <v>2.9</v>
      </c>
      <c r="F38" s="4">
        <v>5.5</v>
      </c>
      <c r="G38" s="4">
        <v>2.9</v>
      </c>
      <c r="H38" s="12">
        <v>3.913065884837013E-3</v>
      </c>
      <c r="I38" s="22">
        <v>0.18292365252520246</v>
      </c>
      <c r="J38" s="4">
        <v>7.2767028974525513E-2</v>
      </c>
      <c r="K38" s="4">
        <v>0.25569068149972796</v>
      </c>
      <c r="L38" s="4">
        <v>2.5138260432378088</v>
      </c>
      <c r="M38" s="28">
        <v>0.21282463418797593</v>
      </c>
      <c r="N38" s="28">
        <v>7.592949750568237E-2</v>
      </c>
    </row>
    <row r="39" spans="1:14" x14ac:dyDescent="0.2">
      <c r="B39" s="4">
        <v>100</v>
      </c>
      <c r="C39" s="4">
        <v>8</v>
      </c>
      <c r="D39" s="4">
        <v>7.1</v>
      </c>
      <c r="E39" s="4">
        <v>3.65</v>
      </c>
      <c r="F39" s="4">
        <v>7.1</v>
      </c>
      <c r="G39" s="4">
        <v>3.65</v>
      </c>
      <c r="H39" s="12">
        <v>3.913065884837013E-3</v>
      </c>
      <c r="I39" s="22">
        <v>0.24272561585074939</v>
      </c>
      <c r="J39" s="4">
        <v>7.9091966036839226E-2</v>
      </c>
      <c r="K39" s="4">
        <v>0.32181758188758863</v>
      </c>
      <c r="L39" s="4">
        <v>3.0689035563699778</v>
      </c>
    </row>
    <row r="40" spans="1:14" x14ac:dyDescent="0.2">
      <c r="A40" s="4">
        <v>513153</v>
      </c>
      <c r="B40" s="4">
        <v>100</v>
      </c>
      <c r="C40" s="4">
        <v>8</v>
      </c>
      <c r="D40" s="4">
        <v>5.15</v>
      </c>
      <c r="E40" s="4">
        <v>2.7</v>
      </c>
      <c r="F40" s="4">
        <v>5.15</v>
      </c>
      <c r="G40" s="4">
        <v>2.7</v>
      </c>
      <c r="H40" s="12">
        <v>3.913065884837013E-3</v>
      </c>
      <c r="I40" s="22">
        <v>0.17237036487951771</v>
      </c>
      <c r="J40" s="4">
        <v>6.5686476516780778E-2</v>
      </c>
      <c r="K40" s="4">
        <v>0.23805684139629849</v>
      </c>
      <c r="L40" s="4">
        <v>2.6241377832997732</v>
      </c>
      <c r="M40" s="28">
        <v>0.1670937210566753</v>
      </c>
      <c r="N40" s="28">
        <v>6.4350430300837064E-2</v>
      </c>
    </row>
    <row r="41" spans="1:14" x14ac:dyDescent="0.2">
      <c r="B41" s="4">
        <v>100</v>
      </c>
      <c r="C41" s="4">
        <v>8</v>
      </c>
      <c r="D41" s="4">
        <v>4.8499999999999996</v>
      </c>
      <c r="E41" s="4">
        <v>2.5499999999999998</v>
      </c>
      <c r="F41" s="4">
        <v>4.8499999999999996</v>
      </c>
      <c r="G41" s="4">
        <v>2.5499999999999998</v>
      </c>
      <c r="H41" s="12">
        <v>3.913065884837013E-3</v>
      </c>
      <c r="I41" s="22">
        <v>0.16181707723383293</v>
      </c>
      <c r="J41" s="4">
        <v>6.3014384084893363E-2</v>
      </c>
      <c r="K41" s="4">
        <v>0.22483146131872628</v>
      </c>
      <c r="L41" s="4">
        <v>2.5679387267489906</v>
      </c>
    </row>
    <row r="42" spans="1:14" x14ac:dyDescent="0.2">
      <c r="A42" s="4">
        <v>513154</v>
      </c>
      <c r="B42" s="4">
        <v>100</v>
      </c>
      <c r="C42" s="4">
        <v>8</v>
      </c>
      <c r="D42" s="4">
        <v>4.6500000000000004</v>
      </c>
      <c r="E42" s="4">
        <v>2.4500000000000002</v>
      </c>
      <c r="F42" s="4">
        <v>4.6500000000000004</v>
      </c>
      <c r="G42" s="4">
        <v>2.4500000000000002</v>
      </c>
      <c r="H42" s="12">
        <v>3.913065884837013E-3</v>
      </c>
      <c r="I42" s="22">
        <v>0.1547815521367098</v>
      </c>
      <c r="J42" s="4">
        <v>6.1232989130301785E-2</v>
      </c>
      <c r="K42" s="4">
        <v>0.21601454126701158</v>
      </c>
      <c r="L42" s="4">
        <v>2.5277477767309344</v>
      </c>
      <c r="M42" s="28">
        <v>0.16885260233095611</v>
      </c>
      <c r="N42" s="28">
        <v>6.9204239065342371E-2</v>
      </c>
    </row>
    <row r="43" spans="1:14" x14ac:dyDescent="0.2">
      <c r="B43" s="4">
        <v>100</v>
      </c>
      <c r="C43" s="4">
        <v>8</v>
      </c>
      <c r="D43" s="4">
        <v>5.55</v>
      </c>
      <c r="E43" s="4">
        <v>2.95</v>
      </c>
      <c r="F43" s="4">
        <v>5.55</v>
      </c>
      <c r="G43" s="4">
        <v>2.95</v>
      </c>
      <c r="H43" s="12">
        <v>3.913065884837013E-3</v>
      </c>
      <c r="I43" s="22">
        <v>0.1829236525252024</v>
      </c>
      <c r="J43" s="4">
        <v>7.7175489000382957E-2</v>
      </c>
      <c r="K43" s="4">
        <v>0.26009914152558533</v>
      </c>
      <c r="L43" s="4">
        <v>2.3702299123014914</v>
      </c>
    </row>
    <row r="44" spans="1:14" x14ac:dyDescent="0.2">
      <c r="A44" s="4">
        <v>513155</v>
      </c>
      <c r="B44" s="4">
        <v>100</v>
      </c>
      <c r="C44" s="4">
        <v>8</v>
      </c>
      <c r="D44" s="4">
        <v>5.45</v>
      </c>
      <c r="E44" s="4">
        <v>2.85</v>
      </c>
      <c r="F44" s="4">
        <v>5.45</v>
      </c>
      <c r="G44" s="4">
        <v>2.85</v>
      </c>
      <c r="H44" s="12">
        <v>3.913065884837013E-3</v>
      </c>
      <c r="I44" s="22">
        <v>0.18292365252520246</v>
      </c>
      <c r="J44" s="4">
        <v>6.8358568948668152E-2</v>
      </c>
      <c r="K44" s="4">
        <v>0.25128222147387058</v>
      </c>
      <c r="L44" s="4">
        <v>2.675943270002676</v>
      </c>
      <c r="M44" s="28">
        <v>0.21634239673653755</v>
      </c>
      <c r="N44" s="28">
        <v>6.8003274931263402E-2</v>
      </c>
    </row>
    <row r="45" spans="1:14" x14ac:dyDescent="0.2">
      <c r="B45" s="4">
        <v>100</v>
      </c>
      <c r="C45" s="4">
        <v>8</v>
      </c>
      <c r="D45" s="4">
        <v>7.15</v>
      </c>
      <c r="E45" s="4">
        <v>3.6</v>
      </c>
      <c r="F45" s="4">
        <v>7.15</v>
      </c>
      <c r="G45" s="4">
        <v>3.6</v>
      </c>
      <c r="H45" s="12">
        <v>3.913065884837013E-3</v>
      </c>
      <c r="I45" s="22">
        <v>0.24976114094787263</v>
      </c>
      <c r="J45" s="4">
        <v>6.7647980913858638E-2</v>
      </c>
      <c r="K45" s="4">
        <v>0.31740912186173126</v>
      </c>
      <c r="L45" s="4">
        <v>3.6920708877610502</v>
      </c>
    </row>
    <row r="46" spans="1:14" x14ac:dyDescent="0.2">
      <c r="A46" s="4">
        <v>513156</v>
      </c>
      <c r="B46" s="4">
        <v>100</v>
      </c>
      <c r="C46" s="4">
        <v>8</v>
      </c>
      <c r="D46" s="4">
        <v>5.45</v>
      </c>
      <c r="E46" s="4">
        <v>2.85</v>
      </c>
      <c r="F46" s="4">
        <v>5.45</v>
      </c>
      <c r="G46" s="4">
        <v>2.85</v>
      </c>
      <c r="H46" s="12">
        <v>3.913065884837013E-3</v>
      </c>
      <c r="I46" s="22">
        <v>0.18292365252520246</v>
      </c>
      <c r="J46" s="4">
        <v>6.8358568948668152E-2</v>
      </c>
      <c r="K46" s="4">
        <v>0.25128222147387058</v>
      </c>
      <c r="L46" s="4">
        <v>2.675943270002676</v>
      </c>
      <c r="M46" s="28">
        <v>0.17940588997664086</v>
      </c>
      <c r="N46" s="28">
        <v>5.8650951419657593E-2</v>
      </c>
    </row>
    <row r="47" spans="1:14" x14ac:dyDescent="0.2">
      <c r="B47" s="4">
        <v>100</v>
      </c>
      <c r="C47" s="4">
        <v>8</v>
      </c>
      <c r="D47" s="4">
        <v>5.05</v>
      </c>
      <c r="E47" s="4">
        <v>2.5499999999999998</v>
      </c>
      <c r="F47" s="4">
        <v>5.05</v>
      </c>
      <c r="G47" s="4">
        <v>2.5499999999999998</v>
      </c>
      <c r="H47" s="12">
        <v>3.913065884837013E-3</v>
      </c>
      <c r="I47" s="22">
        <v>0.17588812742807927</v>
      </c>
      <c r="J47" s="4">
        <v>4.8943333890647027E-2</v>
      </c>
      <c r="K47" s="4">
        <v>0.22483146131872631</v>
      </c>
      <c r="L47" s="4">
        <v>3.5937095707673308</v>
      </c>
    </row>
    <row r="99" spans="15:15" x14ac:dyDescent="0.2">
      <c r="O99" s="12"/>
    </row>
    <row r="131" spans="9:18" x14ac:dyDescent="0.2">
      <c r="I131" s="2"/>
      <c r="L131" s="10"/>
      <c r="P131" s="17"/>
      <c r="Q131" s="21"/>
    </row>
    <row r="132" spans="9:18" x14ac:dyDescent="0.2">
      <c r="I132" s="2"/>
      <c r="L132" s="10"/>
      <c r="P132" s="17"/>
      <c r="Q132" s="21"/>
    </row>
    <row r="133" spans="9:18" x14ac:dyDescent="0.2">
      <c r="I133" s="2"/>
      <c r="L133" s="10"/>
      <c r="P133" s="17"/>
      <c r="Q133" s="21"/>
      <c r="R133"/>
    </row>
    <row r="134" spans="9:18" x14ac:dyDescent="0.2">
      <c r="I134" s="2"/>
      <c r="L134" s="10"/>
      <c r="P134" s="17"/>
      <c r="Q134" s="21"/>
      <c r="R134"/>
    </row>
    <row r="135" spans="9:18" x14ac:dyDescent="0.2">
      <c r="I135" s="2"/>
      <c r="L135" s="10"/>
      <c r="P135" s="17"/>
      <c r="Q135" s="21"/>
      <c r="R135"/>
    </row>
    <row r="136" spans="9:18" x14ac:dyDescent="0.2">
      <c r="I136" s="2"/>
      <c r="L136" s="10"/>
      <c r="P136" s="17"/>
      <c r="Q136" s="21"/>
      <c r="R136"/>
    </row>
    <row r="137" spans="9:18" x14ac:dyDescent="0.2">
      <c r="I137" s="2"/>
      <c r="L137" s="10"/>
      <c r="P137" s="17"/>
      <c r="Q137" s="21"/>
    </row>
    <row r="138" spans="9:18" x14ac:dyDescent="0.2">
      <c r="I138" s="2"/>
      <c r="L138" s="10"/>
      <c r="P138" s="17"/>
      <c r="Q138" s="21"/>
    </row>
    <row r="139" spans="9:18" x14ac:dyDescent="0.2">
      <c r="I139" s="2"/>
      <c r="L139" s="10"/>
      <c r="P139" s="17"/>
      <c r="Q139" s="21"/>
    </row>
    <row r="140" spans="9:18" x14ac:dyDescent="0.2">
      <c r="I140" s="2"/>
      <c r="L140" s="10"/>
      <c r="P140" s="17"/>
      <c r="Q140" s="21"/>
    </row>
    <row r="141" spans="9:18" x14ac:dyDescent="0.2">
      <c r="I141" s="2"/>
      <c r="L141" s="10"/>
      <c r="P141" s="17"/>
      <c r="Q141" s="21"/>
    </row>
    <row r="142" spans="9:18" x14ac:dyDescent="0.2">
      <c r="I142" s="2"/>
      <c r="L142" s="10"/>
      <c r="P142" s="17"/>
      <c r="Q142" s="21"/>
    </row>
    <row r="143" spans="9:18" x14ac:dyDescent="0.2">
      <c r="I143" s="2"/>
      <c r="L143" s="10"/>
      <c r="P143" s="17"/>
      <c r="Q143" s="21"/>
    </row>
    <row r="144" spans="9:18" x14ac:dyDescent="0.2">
      <c r="I144" s="2"/>
      <c r="L144" s="10"/>
      <c r="P144" s="17"/>
      <c r="Q144" s="21"/>
    </row>
    <row r="145" spans="9:18" x14ac:dyDescent="0.2">
      <c r="I145" s="2"/>
      <c r="L145" s="10"/>
      <c r="P145" s="17"/>
      <c r="Q145" s="21"/>
    </row>
    <row r="146" spans="9:18" x14ac:dyDescent="0.2">
      <c r="I146" s="2"/>
      <c r="L146" s="10"/>
      <c r="P146" s="17"/>
      <c r="Q146" s="21"/>
    </row>
    <row r="147" spans="9:18" x14ac:dyDescent="0.2">
      <c r="I147" s="2"/>
      <c r="L147" s="10"/>
      <c r="P147" s="17"/>
      <c r="Q147" s="21"/>
      <c r="R147"/>
    </row>
    <row r="148" spans="9:18" x14ac:dyDescent="0.2">
      <c r="I148" s="2"/>
      <c r="L148" s="10"/>
      <c r="P148" s="17"/>
      <c r="Q148" s="21"/>
      <c r="R148"/>
    </row>
    <row r="149" spans="9:18" x14ac:dyDescent="0.2">
      <c r="I149" s="2"/>
      <c r="L149" s="10"/>
      <c r="P149" s="17"/>
      <c r="Q149" s="21"/>
      <c r="R149"/>
    </row>
    <row r="150" spans="9:18" x14ac:dyDescent="0.2">
      <c r="I150" s="2"/>
      <c r="L150" s="10"/>
      <c r="P150" s="17"/>
      <c r="Q150" s="21"/>
      <c r="R150"/>
    </row>
    <row r="151" spans="9:18" x14ac:dyDescent="0.2">
      <c r="I151" s="2"/>
      <c r="L151" s="10"/>
      <c r="P151" s="17"/>
      <c r="Q151" s="21"/>
      <c r="R151"/>
    </row>
    <row r="152" spans="9:18" x14ac:dyDescent="0.2">
      <c r="I152" s="2"/>
      <c r="L152" s="10"/>
      <c r="P152" s="17"/>
      <c r="Q152" s="21"/>
      <c r="R152"/>
    </row>
    <row r="153" spans="9:18" x14ac:dyDescent="0.2">
      <c r="I153" s="2"/>
      <c r="L153" s="10"/>
      <c r="P153" s="17"/>
      <c r="Q153" s="21"/>
      <c r="R153"/>
    </row>
    <row r="154" spans="9:18" x14ac:dyDescent="0.2">
      <c r="I154" s="2"/>
      <c r="L154" s="10"/>
      <c r="O154" s="12"/>
      <c r="P154" s="17"/>
      <c r="Q154" s="21"/>
      <c r="R154"/>
    </row>
    <row r="155" spans="9:18" x14ac:dyDescent="0.2">
      <c r="I155" s="2"/>
      <c r="L155" s="10"/>
      <c r="P155" s="17"/>
      <c r="Q155" s="19"/>
      <c r="R155"/>
    </row>
    <row r="156" spans="9:18" x14ac:dyDescent="0.2">
      <c r="I156" s="2"/>
      <c r="L156" s="10"/>
      <c r="P156" s="17"/>
      <c r="Q156" s="19"/>
      <c r="R156"/>
    </row>
    <row r="157" spans="9:18" x14ac:dyDescent="0.2">
      <c r="I157" s="2"/>
      <c r="L157" s="10"/>
      <c r="P157" s="17"/>
      <c r="Q157" s="19"/>
      <c r="R157"/>
    </row>
    <row r="158" spans="9:18" x14ac:dyDescent="0.2">
      <c r="I158" s="2"/>
      <c r="L158" s="10"/>
      <c r="P158" s="17"/>
      <c r="Q158" s="19"/>
      <c r="R158"/>
    </row>
    <row r="159" spans="9:18" x14ac:dyDescent="0.2">
      <c r="I159" s="2"/>
      <c r="L159" s="10"/>
      <c r="P159" s="17"/>
      <c r="Q159" s="19"/>
      <c r="R159"/>
    </row>
    <row r="160" spans="9:18" x14ac:dyDescent="0.2">
      <c r="I160" s="2"/>
      <c r="L160" s="10"/>
      <c r="P160" s="17"/>
      <c r="Q160" s="19"/>
      <c r="R160"/>
    </row>
    <row r="161" spans="9:18" x14ac:dyDescent="0.2">
      <c r="I161" s="2"/>
      <c r="L161" s="10"/>
      <c r="P161" s="17"/>
      <c r="Q161" s="19"/>
      <c r="R161"/>
    </row>
    <row r="162" spans="9:18" x14ac:dyDescent="0.2">
      <c r="I162" s="2"/>
      <c r="L162" s="10"/>
      <c r="P162" s="17"/>
      <c r="Q162" s="19"/>
      <c r="R162"/>
    </row>
    <row r="163" spans="9:18" x14ac:dyDescent="0.2">
      <c r="I163" s="2"/>
      <c r="L163" s="10"/>
      <c r="O163" s="12"/>
      <c r="P163" s="17"/>
      <c r="Q163" s="19"/>
      <c r="R163"/>
    </row>
    <row r="164" spans="9:18" x14ac:dyDescent="0.2">
      <c r="I164" s="2"/>
      <c r="L164" s="10"/>
      <c r="P164" s="17"/>
      <c r="Q164" s="19"/>
      <c r="R164"/>
    </row>
    <row r="165" spans="9:18" x14ac:dyDescent="0.2">
      <c r="I165" s="2"/>
      <c r="L165" s="10"/>
      <c r="P165" s="17"/>
      <c r="Q165" s="19"/>
      <c r="R165"/>
    </row>
    <row r="166" spans="9:18" x14ac:dyDescent="0.2">
      <c r="I166" s="2"/>
      <c r="L166" s="10"/>
      <c r="P166" s="17"/>
      <c r="Q166" s="19"/>
      <c r="R166"/>
    </row>
    <row r="167" spans="9:18" x14ac:dyDescent="0.2">
      <c r="I167" s="2"/>
      <c r="L167" s="10"/>
      <c r="P167" s="17"/>
      <c r="Q167" s="19"/>
      <c r="R167"/>
    </row>
    <row r="168" spans="9:18" x14ac:dyDescent="0.2">
      <c r="I168" s="2"/>
      <c r="L168" s="10"/>
      <c r="P168" s="17"/>
      <c r="Q168" s="19"/>
      <c r="R168"/>
    </row>
    <row r="169" spans="9:18" x14ac:dyDescent="0.2">
      <c r="I169" s="2"/>
      <c r="L169" s="10"/>
      <c r="P169" s="17"/>
      <c r="Q169" s="19"/>
      <c r="R169"/>
    </row>
    <row r="170" spans="9:18" x14ac:dyDescent="0.2">
      <c r="I170" s="2"/>
      <c r="L170" s="10"/>
      <c r="P170" s="17"/>
      <c r="Q170" s="19"/>
      <c r="R170"/>
    </row>
    <row r="171" spans="9:18" x14ac:dyDescent="0.2">
      <c r="I171" s="2"/>
      <c r="L171" s="10"/>
      <c r="O171" s="12"/>
      <c r="P171" s="17"/>
      <c r="Q171" s="19"/>
      <c r="R171"/>
    </row>
    <row r="172" spans="9:18" x14ac:dyDescent="0.2">
      <c r="I172" s="2"/>
      <c r="L172" s="10"/>
      <c r="P172" s="17"/>
      <c r="Q172" s="19"/>
      <c r="R172"/>
    </row>
    <row r="173" spans="9:18" x14ac:dyDescent="0.2">
      <c r="I173" s="2"/>
      <c r="L173" s="10"/>
      <c r="P173" s="17"/>
      <c r="Q173" s="19"/>
      <c r="R173"/>
    </row>
    <row r="174" spans="9:18" x14ac:dyDescent="0.2">
      <c r="I174" s="2"/>
      <c r="L174" s="10"/>
      <c r="P174" s="17"/>
      <c r="Q174" s="19"/>
      <c r="R174"/>
    </row>
    <row r="175" spans="9:18" x14ac:dyDescent="0.2">
      <c r="I175" s="2"/>
      <c r="L175" s="10"/>
      <c r="P175" s="17"/>
      <c r="Q175" s="19"/>
      <c r="R175"/>
    </row>
    <row r="176" spans="9:18" x14ac:dyDescent="0.2">
      <c r="I176" s="2"/>
      <c r="L176" s="10"/>
      <c r="P176" s="17"/>
      <c r="Q176" s="19"/>
      <c r="R176"/>
    </row>
    <row r="177" spans="9:18" x14ac:dyDescent="0.2">
      <c r="I177" s="2"/>
      <c r="L177" s="10"/>
      <c r="P177" s="17"/>
      <c r="Q177" s="19"/>
      <c r="R177"/>
    </row>
    <row r="178" spans="9:18" x14ac:dyDescent="0.2">
      <c r="I178" s="2"/>
      <c r="L178" s="10"/>
      <c r="P178" s="17"/>
      <c r="Q178" s="19"/>
      <c r="R178"/>
    </row>
    <row r="179" spans="9:18" x14ac:dyDescent="0.2">
      <c r="I179" s="2"/>
      <c r="L179" s="10"/>
      <c r="O179" s="12"/>
      <c r="P179" s="17"/>
      <c r="Q179" s="19"/>
      <c r="R179"/>
    </row>
    <row r="180" spans="9:18" x14ac:dyDescent="0.2">
      <c r="I180" s="2"/>
      <c r="L180" s="10"/>
      <c r="P180" s="17"/>
      <c r="Q180" s="21"/>
      <c r="R180"/>
    </row>
    <row r="181" spans="9:18" x14ac:dyDescent="0.2">
      <c r="I181" s="2"/>
      <c r="L181" s="10"/>
      <c r="P181" s="17"/>
      <c r="Q181" s="21"/>
      <c r="R181"/>
    </row>
    <row r="182" spans="9:18" x14ac:dyDescent="0.2">
      <c r="I182" s="2"/>
      <c r="L182" s="10"/>
      <c r="P182" s="17"/>
      <c r="Q182" s="21"/>
      <c r="R182"/>
    </row>
    <row r="183" spans="9:18" x14ac:dyDescent="0.2">
      <c r="I183" s="2"/>
      <c r="L183" s="10"/>
      <c r="P183" s="17"/>
      <c r="Q183" s="21"/>
      <c r="R183"/>
    </row>
    <row r="184" spans="9:18" x14ac:dyDescent="0.2">
      <c r="I184" s="2"/>
      <c r="L184" s="10"/>
      <c r="P184" s="17"/>
      <c r="Q184" s="21"/>
      <c r="R184"/>
    </row>
    <row r="185" spans="9:18" x14ac:dyDescent="0.2">
      <c r="I185" s="2"/>
      <c r="L185" s="10"/>
      <c r="P185" s="17"/>
      <c r="Q185" s="21"/>
      <c r="R185"/>
    </row>
    <row r="186" spans="9:18" x14ac:dyDescent="0.2">
      <c r="I186" s="2"/>
      <c r="L186" s="10"/>
      <c r="P186" s="17"/>
      <c r="Q186" s="21"/>
      <c r="R186"/>
    </row>
    <row r="187" spans="9:18" x14ac:dyDescent="0.2">
      <c r="I187" s="2"/>
      <c r="L187" s="10"/>
      <c r="O187" s="12"/>
      <c r="P187" s="17"/>
      <c r="Q187" s="21"/>
      <c r="R187"/>
    </row>
    <row r="188" spans="9:18" x14ac:dyDescent="0.2">
      <c r="I188" s="2"/>
      <c r="L188" s="10"/>
      <c r="P188" s="17"/>
      <c r="Q188" s="21"/>
      <c r="R188"/>
    </row>
    <row r="189" spans="9:18" x14ac:dyDescent="0.2">
      <c r="I189" s="2"/>
      <c r="L189" s="10"/>
      <c r="P189" s="17"/>
      <c r="Q189" s="21"/>
      <c r="R189"/>
    </row>
    <row r="190" spans="9:18" x14ac:dyDescent="0.2">
      <c r="I190" s="2"/>
      <c r="L190" s="10"/>
      <c r="P190" s="17"/>
      <c r="Q190" s="21"/>
      <c r="R190"/>
    </row>
    <row r="191" spans="9:18" x14ac:dyDescent="0.2">
      <c r="I191" s="2"/>
      <c r="L191" s="10"/>
      <c r="P191" s="17"/>
      <c r="Q191" s="21"/>
      <c r="R191"/>
    </row>
    <row r="192" spans="9:18" x14ac:dyDescent="0.2">
      <c r="I192" s="2"/>
      <c r="L192" s="10"/>
      <c r="P192" s="17"/>
      <c r="Q192" s="21"/>
      <c r="R192"/>
    </row>
    <row r="193" spans="9:18" x14ac:dyDescent="0.2">
      <c r="I193" s="2"/>
      <c r="L193" s="10"/>
      <c r="P193" s="17"/>
      <c r="Q193" s="21"/>
      <c r="R193"/>
    </row>
    <row r="194" spans="9:18" x14ac:dyDescent="0.2">
      <c r="I194" s="2"/>
      <c r="L194" s="10"/>
      <c r="P194" s="17"/>
      <c r="Q194" s="21"/>
      <c r="R194"/>
    </row>
    <row r="195" spans="9:18" x14ac:dyDescent="0.2">
      <c r="I195" s="2"/>
      <c r="L195" s="10"/>
      <c r="O195" s="12"/>
      <c r="P195" s="17"/>
      <c r="Q195" s="21"/>
      <c r="R195"/>
    </row>
    <row r="196" spans="9:18" x14ac:dyDescent="0.2">
      <c r="I196" s="2"/>
      <c r="L196" s="10"/>
      <c r="P196" s="17"/>
      <c r="Q196" s="21"/>
      <c r="R196"/>
    </row>
    <row r="197" spans="9:18" x14ac:dyDescent="0.2">
      <c r="I197" s="2"/>
      <c r="L197" s="10"/>
      <c r="P197" s="17"/>
      <c r="Q197" s="21"/>
      <c r="R197"/>
    </row>
    <row r="198" spans="9:18" x14ac:dyDescent="0.2">
      <c r="I198" s="2"/>
      <c r="L198" s="10"/>
      <c r="P198" s="17"/>
      <c r="Q198" s="21"/>
      <c r="R198"/>
    </row>
    <row r="199" spans="9:18" x14ac:dyDescent="0.2">
      <c r="I199" s="2"/>
      <c r="L199" s="10"/>
      <c r="P199" s="17"/>
      <c r="Q199" s="21"/>
      <c r="R199"/>
    </row>
    <row r="200" spans="9:18" x14ac:dyDescent="0.2">
      <c r="I200" s="2"/>
      <c r="L200" s="10"/>
      <c r="P200" s="17"/>
      <c r="Q200" s="21"/>
      <c r="R200"/>
    </row>
    <row r="201" spans="9:18" x14ac:dyDescent="0.2">
      <c r="I201" s="2"/>
      <c r="L201" s="10"/>
      <c r="P201" s="17"/>
      <c r="Q201" s="21"/>
      <c r="R201"/>
    </row>
    <row r="202" spans="9:18" x14ac:dyDescent="0.2">
      <c r="I202" s="2"/>
      <c r="L202" s="10"/>
      <c r="P202" s="17"/>
      <c r="Q202" s="21"/>
      <c r="R202"/>
    </row>
    <row r="203" spans="9:18" x14ac:dyDescent="0.2">
      <c r="I203" s="2"/>
      <c r="L203" s="10"/>
      <c r="O203" s="12"/>
      <c r="P203" s="17"/>
      <c r="Q203" s="21"/>
      <c r="R203"/>
    </row>
    <row r="204" spans="9:18" x14ac:dyDescent="0.2">
      <c r="I204" s="2"/>
      <c r="L204" s="10"/>
      <c r="P204" s="17"/>
      <c r="Q204" s="21"/>
      <c r="R204"/>
    </row>
    <row r="205" spans="9:18" x14ac:dyDescent="0.2">
      <c r="I205" s="2"/>
      <c r="L205" s="10"/>
      <c r="P205" s="17"/>
      <c r="Q205" s="21"/>
      <c r="R205"/>
    </row>
    <row r="206" spans="9:18" x14ac:dyDescent="0.2">
      <c r="I206" s="2"/>
      <c r="L206" s="10"/>
      <c r="P206" s="17"/>
      <c r="Q206" s="21"/>
      <c r="R206"/>
    </row>
    <row r="207" spans="9:18" x14ac:dyDescent="0.2">
      <c r="I207" s="2"/>
      <c r="L207" s="10"/>
      <c r="P207" s="17"/>
      <c r="Q207" s="21"/>
      <c r="R207"/>
    </row>
    <row r="208" spans="9:18" x14ac:dyDescent="0.2">
      <c r="I208" s="2"/>
      <c r="L208" s="10"/>
      <c r="P208" s="17"/>
      <c r="Q208" s="21"/>
      <c r="R208"/>
    </row>
    <row r="209" spans="9:18" x14ac:dyDescent="0.2">
      <c r="I209" s="2"/>
      <c r="L209" s="10"/>
      <c r="P209" s="17"/>
      <c r="Q209" s="21"/>
      <c r="R209"/>
    </row>
    <row r="210" spans="9:18" x14ac:dyDescent="0.2">
      <c r="I210" s="2"/>
      <c r="L210" s="10"/>
      <c r="P210" s="17"/>
      <c r="Q210" s="21"/>
      <c r="R210"/>
    </row>
    <row r="211" spans="9:18" x14ac:dyDescent="0.2">
      <c r="I211" s="2"/>
      <c r="L211" s="10"/>
      <c r="P211" s="17"/>
      <c r="Q211" s="21"/>
      <c r="R211"/>
    </row>
    <row r="212" spans="9:18" x14ac:dyDescent="0.2">
      <c r="I212" s="2"/>
      <c r="L212" s="10"/>
      <c r="P212" s="17"/>
      <c r="Q212" s="21"/>
      <c r="R212"/>
    </row>
    <row r="213" spans="9:18" x14ac:dyDescent="0.2">
      <c r="I213" s="2"/>
      <c r="L213" s="10"/>
      <c r="P213" s="17"/>
      <c r="Q213" s="21"/>
      <c r="R213"/>
    </row>
    <row r="214" spans="9:18" x14ac:dyDescent="0.2">
      <c r="I214" s="2"/>
      <c r="L214" s="10"/>
      <c r="P214" s="17"/>
      <c r="Q214" s="21"/>
      <c r="R214"/>
    </row>
    <row r="215" spans="9:18" x14ac:dyDescent="0.2">
      <c r="I215" s="2"/>
      <c r="L215" s="10"/>
      <c r="P215" s="17"/>
      <c r="Q215" s="21"/>
      <c r="R215"/>
    </row>
    <row r="216" spans="9:18" x14ac:dyDescent="0.2">
      <c r="I216" s="2"/>
      <c r="L216" s="10"/>
      <c r="P216" s="17"/>
      <c r="Q216" s="21"/>
      <c r="R216"/>
    </row>
    <row r="217" spans="9:18" x14ac:dyDescent="0.2">
      <c r="I217" s="2"/>
      <c r="L217" s="10"/>
      <c r="P217" s="17"/>
      <c r="Q217" s="21"/>
      <c r="R217"/>
    </row>
    <row r="218" spans="9:18" x14ac:dyDescent="0.2">
      <c r="I218" s="2"/>
      <c r="L218" s="10"/>
      <c r="P218" s="17"/>
      <c r="Q218" s="21"/>
      <c r="R218"/>
    </row>
    <row r="219" spans="9:18" x14ac:dyDescent="0.2">
      <c r="I219" s="2"/>
      <c r="L219" s="10"/>
      <c r="P219" s="17"/>
      <c r="Q219" s="21"/>
      <c r="R219"/>
    </row>
    <row r="220" spans="9:18" x14ac:dyDescent="0.2">
      <c r="I220" s="2"/>
      <c r="L220" s="10"/>
      <c r="P220" s="17"/>
      <c r="Q220" s="21"/>
      <c r="R220"/>
    </row>
    <row r="221" spans="9:18" x14ac:dyDescent="0.2">
      <c r="I221" s="2"/>
      <c r="L221" s="10"/>
      <c r="P221" s="17"/>
      <c r="Q221" s="21"/>
      <c r="R221"/>
    </row>
    <row r="222" spans="9:18" x14ac:dyDescent="0.2">
      <c r="I222" s="2"/>
      <c r="L222" s="10"/>
      <c r="P222" s="17"/>
      <c r="Q222" s="21"/>
      <c r="R222"/>
    </row>
    <row r="223" spans="9:18" x14ac:dyDescent="0.2">
      <c r="I223" s="2"/>
      <c r="L223" s="10"/>
      <c r="P223" s="17"/>
      <c r="Q223" s="21"/>
      <c r="R223"/>
    </row>
    <row r="224" spans="9:18" x14ac:dyDescent="0.2">
      <c r="I224" s="2"/>
      <c r="L224" s="10"/>
      <c r="P224" s="17"/>
      <c r="Q224" s="21"/>
      <c r="R224"/>
    </row>
    <row r="225" spans="9:18" x14ac:dyDescent="0.2">
      <c r="I225" s="2"/>
      <c r="L225" s="10"/>
      <c r="P225" s="17"/>
      <c r="Q225" s="21"/>
      <c r="R225"/>
    </row>
    <row r="226" spans="9:18" x14ac:dyDescent="0.2">
      <c r="I226" s="2"/>
      <c r="L226" s="10"/>
      <c r="P226" s="17"/>
      <c r="Q226" s="21"/>
      <c r="R226"/>
    </row>
    <row r="227" spans="9:18" x14ac:dyDescent="0.2">
      <c r="I227" s="2"/>
      <c r="L227" s="10"/>
      <c r="P227" s="17"/>
      <c r="Q227" s="21"/>
      <c r="R227"/>
    </row>
    <row r="228" spans="9:18" x14ac:dyDescent="0.2">
      <c r="I228" s="2"/>
      <c r="L228" s="10"/>
      <c r="P228" s="17"/>
      <c r="Q228" s="21"/>
      <c r="R228"/>
    </row>
    <row r="229" spans="9:18" x14ac:dyDescent="0.2">
      <c r="I229" s="2"/>
      <c r="L229" s="10"/>
      <c r="P229" s="17"/>
      <c r="Q229" s="21"/>
      <c r="R229"/>
    </row>
    <row r="230" spans="9:18" x14ac:dyDescent="0.2">
      <c r="I230" s="2"/>
      <c r="L230" s="10"/>
      <c r="P230" s="17"/>
      <c r="Q230" s="21"/>
      <c r="R230"/>
    </row>
    <row r="231" spans="9:18" x14ac:dyDescent="0.2">
      <c r="I231" s="2"/>
      <c r="L231" s="10"/>
      <c r="P231" s="17"/>
      <c r="Q231" s="21"/>
      <c r="R231"/>
    </row>
    <row r="232" spans="9:18" x14ac:dyDescent="0.2">
      <c r="I232" s="2"/>
      <c r="L232" s="10"/>
      <c r="P232" s="17"/>
      <c r="Q232" s="21"/>
      <c r="R232"/>
    </row>
    <row r="233" spans="9:18" x14ac:dyDescent="0.2">
      <c r="I233" s="2"/>
      <c r="L233" s="10"/>
      <c r="P233" s="17"/>
      <c r="Q233" s="21"/>
      <c r="R233"/>
    </row>
    <row r="234" spans="9:18" x14ac:dyDescent="0.2">
      <c r="I234" s="2"/>
      <c r="L234" s="10"/>
      <c r="P234" s="17"/>
      <c r="Q234" s="21"/>
      <c r="R234"/>
    </row>
    <row r="235" spans="9:18" x14ac:dyDescent="0.2">
      <c r="I235" s="2"/>
      <c r="L235" s="10"/>
      <c r="P235" s="17"/>
      <c r="Q235" s="21"/>
      <c r="R235"/>
    </row>
    <row r="236" spans="9:18" x14ac:dyDescent="0.2">
      <c r="I236" s="2"/>
      <c r="L236" s="10"/>
      <c r="P236" s="17"/>
      <c r="Q236" s="21"/>
      <c r="R236"/>
    </row>
    <row r="237" spans="9:18" x14ac:dyDescent="0.2">
      <c r="I237" s="2"/>
      <c r="L237" s="10"/>
      <c r="P237" s="17"/>
      <c r="Q237" s="21"/>
      <c r="R237"/>
    </row>
    <row r="238" spans="9:18" x14ac:dyDescent="0.2">
      <c r="I238" s="2"/>
      <c r="L238" s="10"/>
      <c r="P238" s="17"/>
      <c r="Q238" s="21"/>
      <c r="R238"/>
    </row>
    <row r="239" spans="9:18" x14ac:dyDescent="0.2">
      <c r="I239" s="2"/>
      <c r="L239" s="10"/>
      <c r="P239" s="17"/>
      <c r="Q239" s="21"/>
      <c r="R239"/>
    </row>
    <row r="240" spans="9:18" x14ac:dyDescent="0.2">
      <c r="I240" s="2"/>
      <c r="L240" s="10"/>
      <c r="P240" s="17"/>
      <c r="Q240" s="21"/>
      <c r="R240"/>
    </row>
    <row r="241" spans="9:18" x14ac:dyDescent="0.2">
      <c r="I241" s="2"/>
      <c r="L241" s="10"/>
      <c r="P241" s="17"/>
      <c r="Q241" s="21"/>
      <c r="R241"/>
    </row>
    <row r="242" spans="9:18" x14ac:dyDescent="0.2">
      <c r="I242" s="2"/>
      <c r="L242" s="10"/>
      <c r="O242" s="23"/>
      <c r="P242" s="17"/>
      <c r="Q242" s="21"/>
      <c r="R242"/>
    </row>
    <row r="243" spans="9:18" x14ac:dyDescent="0.2">
      <c r="I243" s="2"/>
      <c r="L243" s="10"/>
      <c r="P243" s="17"/>
      <c r="Q243" s="21"/>
      <c r="R243"/>
    </row>
    <row r="244" spans="9:18" x14ac:dyDescent="0.2">
      <c r="I244" s="2"/>
      <c r="L244" s="10"/>
      <c r="P244" s="17"/>
      <c r="Q244" s="21"/>
      <c r="R244"/>
    </row>
    <row r="245" spans="9:18" x14ac:dyDescent="0.2">
      <c r="I245" s="2"/>
      <c r="L245" s="10"/>
      <c r="P245" s="17"/>
      <c r="Q245" s="21"/>
      <c r="R245"/>
    </row>
    <row r="246" spans="9:18" x14ac:dyDescent="0.2">
      <c r="I246" s="2"/>
      <c r="L246" s="10"/>
      <c r="P246" s="17"/>
      <c r="Q246" s="21"/>
      <c r="R246"/>
    </row>
    <row r="247" spans="9:18" x14ac:dyDescent="0.2">
      <c r="I247" s="2"/>
      <c r="L247" s="10"/>
      <c r="P247" s="17"/>
      <c r="Q247" s="21"/>
      <c r="R247"/>
    </row>
    <row r="248" spans="9:18" x14ac:dyDescent="0.2">
      <c r="I248" s="2"/>
      <c r="L248" s="10"/>
      <c r="P248" s="17"/>
      <c r="Q248" s="21"/>
      <c r="R248"/>
    </row>
    <row r="249" spans="9:18" x14ac:dyDescent="0.2">
      <c r="I249" s="2"/>
      <c r="L249" s="10"/>
      <c r="P249" s="17"/>
      <c r="Q249" s="21"/>
      <c r="R249"/>
    </row>
    <row r="250" spans="9:18" x14ac:dyDescent="0.2">
      <c r="I250" s="2"/>
      <c r="L250" s="10"/>
      <c r="P250" s="17"/>
      <c r="Q250" s="21"/>
      <c r="R250"/>
    </row>
    <row r="251" spans="9:18" x14ac:dyDescent="0.2">
      <c r="I251" s="2"/>
      <c r="L251" s="10"/>
      <c r="P251" s="17"/>
      <c r="Q251" s="21"/>
      <c r="R251"/>
    </row>
    <row r="252" spans="9:18" x14ac:dyDescent="0.2">
      <c r="I252" s="2"/>
      <c r="L252" s="10"/>
      <c r="P252" s="17"/>
      <c r="Q252" s="21"/>
      <c r="R252"/>
    </row>
    <row r="253" spans="9:18" x14ac:dyDescent="0.2">
      <c r="I253" s="2"/>
      <c r="L253" s="10"/>
      <c r="P253" s="17"/>
      <c r="Q253" s="21"/>
      <c r="R253"/>
    </row>
    <row r="254" spans="9:18" x14ac:dyDescent="0.2">
      <c r="I254" s="2"/>
      <c r="L254" s="10"/>
      <c r="P254" s="17"/>
      <c r="Q254" s="21"/>
      <c r="R254"/>
    </row>
    <row r="255" spans="9:18" x14ac:dyDescent="0.2">
      <c r="I255" s="2"/>
      <c r="L255" s="10"/>
      <c r="P255" s="17"/>
      <c r="Q255" s="21"/>
      <c r="R255"/>
    </row>
    <row r="256" spans="9:18" x14ac:dyDescent="0.2">
      <c r="I256" s="2"/>
      <c r="L256" s="10"/>
      <c r="P256" s="17"/>
      <c r="Q256" s="21"/>
      <c r="R256"/>
    </row>
    <row r="257" spans="9:18" x14ac:dyDescent="0.2">
      <c r="I257" s="2"/>
      <c r="L257" s="10"/>
      <c r="P257" s="17"/>
      <c r="Q257" s="21"/>
      <c r="R257"/>
    </row>
    <row r="258" spans="9:18" x14ac:dyDescent="0.2">
      <c r="I258" s="2"/>
      <c r="L258" s="10"/>
      <c r="P258" s="17"/>
      <c r="Q258" s="21"/>
      <c r="R258"/>
    </row>
    <row r="259" spans="9:18" x14ac:dyDescent="0.2">
      <c r="I259" s="2"/>
      <c r="L259" s="10"/>
      <c r="O259" s="12"/>
      <c r="P259" s="17"/>
      <c r="Q259" s="21"/>
      <c r="R259"/>
    </row>
    <row r="260" spans="9:18" x14ac:dyDescent="0.2">
      <c r="I260" s="2"/>
      <c r="L260" s="10"/>
      <c r="P260" s="17"/>
      <c r="Q260" s="21"/>
      <c r="R260"/>
    </row>
    <row r="261" spans="9:18" x14ac:dyDescent="0.2">
      <c r="I261" s="2"/>
      <c r="L261" s="10"/>
      <c r="P261" s="17"/>
      <c r="Q261" s="21"/>
      <c r="R261"/>
    </row>
    <row r="262" spans="9:18" x14ac:dyDescent="0.2">
      <c r="I262" s="2"/>
      <c r="L262" s="10"/>
      <c r="P262" s="17"/>
      <c r="Q262" s="21"/>
      <c r="R262"/>
    </row>
    <row r="263" spans="9:18" x14ac:dyDescent="0.2">
      <c r="I263" s="2"/>
      <c r="L263" s="10"/>
      <c r="O263" s="24"/>
      <c r="P263" s="17"/>
      <c r="Q263" s="21"/>
      <c r="R263"/>
    </row>
    <row r="264" spans="9:18" x14ac:dyDescent="0.2">
      <c r="I264" s="2"/>
      <c r="L264" s="10"/>
      <c r="P264" s="17"/>
      <c r="Q264" s="21"/>
      <c r="R264"/>
    </row>
    <row r="265" spans="9:18" x14ac:dyDescent="0.2">
      <c r="I265" s="2"/>
      <c r="L265" s="10"/>
      <c r="P265" s="17"/>
      <c r="Q265" s="21"/>
      <c r="R265"/>
    </row>
    <row r="266" spans="9:18" x14ac:dyDescent="0.2">
      <c r="I266" s="2"/>
      <c r="L266" s="10"/>
      <c r="P266" s="17"/>
      <c r="Q266" s="21"/>
      <c r="R266"/>
    </row>
    <row r="267" spans="9:18" x14ac:dyDescent="0.2">
      <c r="I267" s="2"/>
      <c r="L267" s="10"/>
      <c r="O267" s="12"/>
      <c r="P267" s="17"/>
      <c r="Q267" s="21"/>
      <c r="R267"/>
    </row>
    <row r="268" spans="9:18" x14ac:dyDescent="0.2">
      <c r="I268" s="2"/>
      <c r="L268" s="10"/>
      <c r="P268" s="17"/>
      <c r="Q268" s="21"/>
      <c r="R268"/>
    </row>
    <row r="269" spans="9:18" x14ac:dyDescent="0.2">
      <c r="I269" s="2"/>
      <c r="L269" s="10"/>
      <c r="P269" s="17"/>
      <c r="Q269" s="21"/>
      <c r="R269"/>
    </row>
    <row r="270" spans="9:18" x14ac:dyDescent="0.2">
      <c r="I270" s="2"/>
      <c r="L270" s="10"/>
      <c r="P270" s="17"/>
      <c r="Q270" s="21"/>
      <c r="R270"/>
    </row>
    <row r="271" spans="9:18" x14ac:dyDescent="0.2">
      <c r="I271" s="2"/>
      <c r="L271" s="10"/>
      <c r="P271" s="17"/>
      <c r="Q271" s="21"/>
      <c r="R271"/>
    </row>
    <row r="272" spans="9:18" x14ac:dyDescent="0.2">
      <c r="I272" s="2"/>
      <c r="L272" s="10"/>
      <c r="P272" s="17"/>
      <c r="Q272" s="21"/>
      <c r="R272"/>
    </row>
    <row r="273" spans="9:18" x14ac:dyDescent="0.2">
      <c r="I273" s="2"/>
      <c r="L273" s="10"/>
      <c r="P273" s="17"/>
      <c r="Q273" s="21"/>
      <c r="R273"/>
    </row>
    <row r="274" spans="9:18" x14ac:dyDescent="0.2">
      <c r="I274" s="2"/>
      <c r="L274" s="10"/>
      <c r="P274" s="17"/>
      <c r="Q274" s="21"/>
      <c r="R274"/>
    </row>
    <row r="275" spans="9:18" x14ac:dyDescent="0.2">
      <c r="I275" s="2"/>
      <c r="L275" s="10"/>
      <c r="O275" s="12"/>
      <c r="P275" s="17"/>
      <c r="Q275" s="21"/>
      <c r="R275" s="11"/>
    </row>
    <row r="276" spans="9:18" x14ac:dyDescent="0.2">
      <c r="I276" s="2"/>
      <c r="L276" s="10"/>
      <c r="P276" s="17"/>
      <c r="Q276" s="21"/>
      <c r="R276"/>
    </row>
    <row r="277" spans="9:18" x14ac:dyDescent="0.2">
      <c r="I277" s="2"/>
      <c r="L277" s="10"/>
      <c r="P277" s="17"/>
      <c r="Q277" s="21"/>
      <c r="R277"/>
    </row>
    <row r="278" spans="9:18" x14ac:dyDescent="0.2">
      <c r="I278" s="2"/>
      <c r="L278" s="10"/>
      <c r="P278" s="17"/>
      <c r="Q278" s="21"/>
      <c r="R278"/>
    </row>
    <row r="279" spans="9:18" x14ac:dyDescent="0.2">
      <c r="I279" s="2"/>
      <c r="L279" s="10"/>
      <c r="P279" s="17"/>
      <c r="Q279" s="21"/>
      <c r="R279"/>
    </row>
    <row r="280" spans="9:18" x14ac:dyDescent="0.2">
      <c r="I280" s="2"/>
      <c r="L280" s="10"/>
      <c r="P280" s="17"/>
      <c r="Q280" s="21"/>
      <c r="R280"/>
    </row>
    <row r="281" spans="9:18" x14ac:dyDescent="0.2">
      <c r="I281" s="2"/>
      <c r="L281" s="10"/>
      <c r="P281" s="17"/>
      <c r="Q281" s="21"/>
      <c r="R281"/>
    </row>
    <row r="282" spans="9:18" x14ac:dyDescent="0.2">
      <c r="I282" s="2"/>
      <c r="L282" s="10"/>
      <c r="P282" s="17"/>
      <c r="Q282" s="21"/>
      <c r="R282"/>
    </row>
    <row r="283" spans="9:18" x14ac:dyDescent="0.2">
      <c r="I283" s="2"/>
      <c r="L283" s="10"/>
      <c r="O283" s="12"/>
      <c r="P283" s="17"/>
      <c r="Q283" s="21"/>
      <c r="R283" s="11"/>
    </row>
    <row r="284" spans="9:18" x14ac:dyDescent="0.2">
      <c r="I284" s="2"/>
      <c r="L284" s="10"/>
      <c r="P284" s="17"/>
      <c r="Q284" s="21"/>
      <c r="R284"/>
    </row>
    <row r="285" spans="9:18" x14ac:dyDescent="0.2">
      <c r="I285" s="2"/>
      <c r="L285" s="10"/>
      <c r="P285" s="17"/>
      <c r="Q285" s="21"/>
      <c r="R285"/>
    </row>
    <row r="286" spans="9:18" x14ac:dyDescent="0.2">
      <c r="I286" s="2"/>
      <c r="L286" s="10"/>
      <c r="P286" s="17"/>
      <c r="Q286" s="21"/>
      <c r="R286"/>
    </row>
    <row r="287" spans="9:18" x14ac:dyDescent="0.2">
      <c r="I287" s="2"/>
      <c r="L287" s="10"/>
      <c r="P287" s="17"/>
      <c r="Q287" s="21"/>
      <c r="R287"/>
    </row>
    <row r="288" spans="9:18" x14ac:dyDescent="0.2">
      <c r="I288" s="2"/>
      <c r="L288" s="10"/>
      <c r="P288" s="17"/>
      <c r="Q288" s="21"/>
      <c r="R288"/>
    </row>
    <row r="289" spans="9:18" x14ac:dyDescent="0.2">
      <c r="I289" s="2"/>
      <c r="L289" s="10"/>
      <c r="P289" s="17"/>
      <c r="Q289" s="21"/>
      <c r="R289"/>
    </row>
    <row r="290" spans="9:18" x14ac:dyDescent="0.2">
      <c r="I290" s="2"/>
      <c r="L290" s="10"/>
      <c r="P290" s="17"/>
      <c r="Q290" s="21"/>
      <c r="R290"/>
    </row>
    <row r="291" spans="9:18" x14ac:dyDescent="0.2">
      <c r="P291" s="17"/>
      <c r="Q291" s="21"/>
      <c r="R291" s="1"/>
    </row>
    <row r="292" spans="9:18" x14ac:dyDescent="0.2">
      <c r="P292" s="17"/>
      <c r="Q292" s="21"/>
    </row>
    <row r="293" spans="9:18" x14ac:dyDescent="0.2">
      <c r="P293" s="17"/>
      <c r="Q293" s="21"/>
    </row>
    <row r="299" spans="9:18" x14ac:dyDescent="0.2">
      <c r="R299" s="1"/>
    </row>
    <row r="304" spans="9:18" x14ac:dyDescent="0.2">
      <c r="R304" s="12"/>
    </row>
    <row r="307" spans="4:18" x14ac:dyDescent="0.2">
      <c r="D307" s="9"/>
      <c r="R307" s="1"/>
    </row>
    <row r="308" spans="4:18" x14ac:dyDescent="0.2">
      <c r="D308" s="9"/>
    </row>
    <row r="315" spans="4:18" x14ac:dyDescent="0.2">
      <c r="R315" s="1"/>
    </row>
    <row r="323" spans="18:18" x14ac:dyDescent="0.2">
      <c r="R323" s="1"/>
    </row>
    <row r="331" spans="18:18" x14ac:dyDescent="0.2">
      <c r="R331" s="1"/>
    </row>
    <row r="339" spans="18:18" x14ac:dyDescent="0.2">
      <c r="R339" s="1"/>
    </row>
    <row r="347" spans="18:18" x14ac:dyDescent="0.2">
      <c r="R347" s="1"/>
    </row>
  </sheetData>
  <phoneticPr fontId="8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zoomScale="75" workbookViewId="0">
      <pane ySplit="19" topLeftCell="A20" activePane="bottomLeft" state="frozen"/>
      <selection pane="bottomLeft" activeCell="R20" sqref="A1:XFD1048576"/>
    </sheetView>
  </sheetViews>
  <sheetFormatPr defaultRowHeight="12.75" x14ac:dyDescent="0.2"/>
  <cols>
    <col min="1" max="1" width="15.140625" style="4" customWidth="1"/>
    <col min="2" max="2" width="14.5703125" customWidth="1"/>
    <col min="8" max="8" width="14.85546875" customWidth="1"/>
    <col min="9" max="9" width="16.5703125" customWidth="1"/>
    <col min="12" max="12" width="9.42578125" bestFit="1" customWidth="1"/>
    <col min="13" max="14" width="8.85546875" style="8"/>
    <col min="15" max="15" width="15.85546875" bestFit="1" customWidth="1"/>
    <col min="16" max="16" width="10.140625" style="17" customWidth="1"/>
    <col min="17" max="17" width="10.85546875" style="21" customWidth="1"/>
    <col min="18" max="18" width="40" bestFit="1" customWidth="1"/>
    <col min="20" max="20" width="10.42578125" bestFit="1" customWidth="1"/>
  </cols>
  <sheetData>
    <row r="1" spans="1:20" ht="15.75" x14ac:dyDescent="0.25">
      <c r="A1" s="14" t="s">
        <v>28</v>
      </c>
      <c r="L1" s="8"/>
      <c r="N1"/>
      <c r="O1" s="17"/>
      <c r="P1" s="21"/>
      <c r="Q1"/>
    </row>
    <row r="2" spans="1:20" ht="15.75" x14ac:dyDescent="0.25">
      <c r="A2" s="14" t="s">
        <v>0</v>
      </c>
    </row>
    <row r="3" spans="1:20" ht="15" x14ac:dyDescent="0.2">
      <c r="A3" s="13" t="s">
        <v>16</v>
      </c>
    </row>
    <row r="4" spans="1:20" ht="15" x14ac:dyDescent="0.2">
      <c r="A4" s="13" t="s">
        <v>26</v>
      </c>
    </row>
    <row r="5" spans="1:20" ht="15.75" thickBot="1" x14ac:dyDescent="0.25">
      <c r="A5" s="13"/>
    </row>
    <row r="6" spans="1:20" ht="13.5" thickBot="1" x14ac:dyDescent="0.25">
      <c r="A6" s="52" t="s">
        <v>22</v>
      </c>
      <c r="H6" s="36" t="s">
        <v>21</v>
      </c>
      <c r="I6" s="37" t="s">
        <v>24</v>
      </c>
      <c r="M6" s="2"/>
      <c r="N6" s="2"/>
      <c r="O6" s="4"/>
      <c r="Q6" s="19"/>
      <c r="R6" s="4"/>
      <c r="S6" s="4"/>
      <c r="T6" s="4"/>
    </row>
    <row r="7" spans="1:20" ht="13.5" thickBot="1" x14ac:dyDescent="0.25">
      <c r="A7" s="57">
        <v>2.2532000000000001</v>
      </c>
      <c r="H7" s="53">
        <v>1</v>
      </c>
      <c r="I7" s="54">
        <v>27.326256651270839</v>
      </c>
      <c r="M7" s="2"/>
      <c r="N7" s="2"/>
      <c r="O7" s="4"/>
      <c r="Q7" s="19"/>
      <c r="R7" s="4"/>
      <c r="S7" s="4"/>
      <c r="T7" s="4"/>
    </row>
    <row r="8" spans="1:20" x14ac:dyDescent="0.2">
      <c r="A8" s="58">
        <f>A7/(A7-1)</f>
        <v>1.7979572294924993</v>
      </c>
      <c r="C8" s="4"/>
      <c r="H8" s="53">
        <v>2</v>
      </c>
      <c r="I8" s="54">
        <v>8.9214155892065712</v>
      </c>
      <c r="M8" s="2"/>
      <c r="N8" s="2"/>
      <c r="O8" s="4"/>
      <c r="Q8" s="19"/>
      <c r="R8" s="4"/>
      <c r="S8" s="4"/>
      <c r="T8" s="4"/>
    </row>
    <row r="9" spans="1:20" ht="13.5" thickBot="1" x14ac:dyDescent="0.25">
      <c r="A9" s="59">
        <v>1.7979572294924993</v>
      </c>
      <c r="H9" s="53">
        <v>3</v>
      </c>
      <c r="I9" s="54">
        <v>1.6849337925250363</v>
      </c>
      <c r="M9" s="2"/>
      <c r="N9" s="2"/>
      <c r="O9" s="4"/>
      <c r="Q9" s="19"/>
      <c r="R9" s="4"/>
      <c r="S9" s="4"/>
      <c r="T9" s="4"/>
    </row>
    <row r="10" spans="1:20" ht="13.5" thickBot="1" x14ac:dyDescent="0.25">
      <c r="A10" s="38"/>
      <c r="H10" s="53">
        <v>4</v>
      </c>
      <c r="I10" s="54">
        <v>0.53643986857369075</v>
      </c>
      <c r="M10" s="2"/>
      <c r="N10" s="2"/>
      <c r="O10" s="4"/>
      <c r="Q10" s="19"/>
      <c r="R10" s="4"/>
      <c r="S10" s="4"/>
      <c r="T10" s="4"/>
    </row>
    <row r="11" spans="1:20" x14ac:dyDescent="0.2">
      <c r="A11" s="39" t="s">
        <v>1</v>
      </c>
      <c r="B11" s="40"/>
      <c r="C11" s="40"/>
      <c r="D11" s="41"/>
      <c r="H11" s="53">
        <v>5</v>
      </c>
      <c r="I11" s="54">
        <v>0.13721397638440844</v>
      </c>
      <c r="M11" s="2"/>
      <c r="N11" s="2"/>
      <c r="O11" s="4"/>
      <c r="Q11" s="19"/>
      <c r="R11" s="4"/>
      <c r="S11" s="4"/>
      <c r="T11" s="4"/>
    </row>
    <row r="12" spans="1:20" x14ac:dyDescent="0.2">
      <c r="A12" s="42" t="s">
        <v>21</v>
      </c>
      <c r="B12" s="43" t="s">
        <v>23</v>
      </c>
      <c r="C12" s="43" t="s">
        <v>21</v>
      </c>
      <c r="D12" s="44" t="s">
        <v>23</v>
      </c>
      <c r="H12" s="53">
        <v>6</v>
      </c>
      <c r="I12" s="54">
        <v>4.958061418569628E-2</v>
      </c>
      <c r="M12" s="2"/>
      <c r="N12" s="2"/>
      <c r="O12" s="4"/>
      <c r="Q12" s="19"/>
      <c r="R12" s="4"/>
      <c r="S12" s="4"/>
      <c r="T12" s="4"/>
    </row>
    <row r="13" spans="1:20" x14ac:dyDescent="0.2">
      <c r="A13" s="42">
        <v>1</v>
      </c>
      <c r="B13" s="45">
        <v>0</v>
      </c>
      <c r="C13" s="46">
        <v>5</v>
      </c>
      <c r="D13" s="47">
        <v>0</v>
      </c>
      <c r="H13" s="53">
        <v>7</v>
      </c>
      <c r="I13" s="54">
        <v>1.1969109850497893E-2</v>
      </c>
      <c r="M13" s="2"/>
      <c r="N13" s="2"/>
      <c r="O13" s="4"/>
      <c r="Q13" s="19"/>
      <c r="R13" s="4"/>
      <c r="S13" s="4"/>
      <c r="T13" s="4"/>
    </row>
    <row r="14" spans="1:20" ht="13.5" thickBot="1" x14ac:dyDescent="0.25">
      <c r="A14" s="42">
        <v>2</v>
      </c>
      <c r="B14" s="45">
        <v>0</v>
      </c>
      <c r="C14" s="46">
        <v>6</v>
      </c>
      <c r="D14" s="47">
        <v>0</v>
      </c>
      <c r="H14" s="55">
        <v>8</v>
      </c>
      <c r="I14" s="56">
        <v>3.913065884837013E-3</v>
      </c>
      <c r="M14" s="2"/>
      <c r="N14" s="2"/>
      <c r="O14" s="4"/>
      <c r="Q14" s="19"/>
      <c r="R14" s="4"/>
      <c r="S14" s="4"/>
      <c r="T14" s="4"/>
    </row>
    <row r="15" spans="1:20" x14ac:dyDescent="0.2">
      <c r="A15" s="42">
        <v>3</v>
      </c>
      <c r="B15" s="45">
        <v>0</v>
      </c>
      <c r="C15" s="46">
        <v>7</v>
      </c>
      <c r="D15" s="47">
        <v>0</v>
      </c>
      <c r="M15" s="2"/>
      <c r="N15" s="2"/>
      <c r="O15" s="4"/>
      <c r="Q15" s="19"/>
      <c r="R15" s="1"/>
      <c r="S15" s="4"/>
      <c r="T15" s="4"/>
    </row>
    <row r="16" spans="1:20" ht="13.5" thickBot="1" x14ac:dyDescent="0.25">
      <c r="A16" s="48">
        <v>4</v>
      </c>
      <c r="B16" s="49">
        <v>0</v>
      </c>
      <c r="C16" s="50">
        <v>8</v>
      </c>
      <c r="D16" s="51">
        <v>0</v>
      </c>
      <c r="M16" s="2"/>
      <c r="N16" s="2"/>
      <c r="O16" s="4"/>
      <c r="Q16" s="19"/>
      <c r="R16" s="4"/>
      <c r="S16" s="4"/>
      <c r="T16" s="4"/>
    </row>
    <row r="17" spans="1:22" x14ac:dyDescent="0.2">
      <c r="C17" s="4"/>
      <c r="F17" s="12"/>
      <c r="M17" s="2"/>
      <c r="N17" s="2"/>
      <c r="O17" s="4"/>
      <c r="Q17" s="19"/>
      <c r="R17" s="4"/>
      <c r="S17" s="4"/>
      <c r="T17" s="4"/>
    </row>
    <row r="18" spans="1:22" x14ac:dyDescent="0.2">
      <c r="B18" s="8" t="s">
        <v>14</v>
      </c>
      <c r="C18" s="4"/>
      <c r="F18" s="8" t="s">
        <v>15</v>
      </c>
      <c r="H18" s="4"/>
      <c r="M18" s="2"/>
      <c r="N18" s="2"/>
      <c r="O18" s="4"/>
      <c r="Q18" s="19"/>
      <c r="R18" s="4"/>
      <c r="S18" s="2"/>
      <c r="T18" s="5"/>
    </row>
    <row r="19" spans="1:22" s="8" customFormat="1" x14ac:dyDescent="0.2">
      <c r="A19" s="6" t="s">
        <v>2</v>
      </c>
      <c r="B19" s="6" t="s">
        <v>3</v>
      </c>
      <c r="C19" s="6" t="s">
        <v>4</v>
      </c>
      <c r="D19" s="6" t="s">
        <v>5</v>
      </c>
      <c r="E19" s="6" t="s">
        <v>6</v>
      </c>
      <c r="F19" s="6" t="s">
        <v>5</v>
      </c>
      <c r="G19" s="6" t="s">
        <v>6</v>
      </c>
      <c r="H19" s="6" t="s">
        <v>7</v>
      </c>
      <c r="I19" s="6" t="s">
        <v>8</v>
      </c>
      <c r="J19" s="6" t="s">
        <v>9</v>
      </c>
      <c r="K19" s="6" t="s">
        <v>10</v>
      </c>
      <c r="L19" s="6" t="s">
        <v>11</v>
      </c>
      <c r="M19" s="7" t="s">
        <v>12</v>
      </c>
      <c r="N19" s="7" t="s">
        <v>13</v>
      </c>
      <c r="O19" s="15" t="s">
        <v>17</v>
      </c>
      <c r="P19" s="16" t="s">
        <v>18</v>
      </c>
      <c r="Q19" s="20" t="s">
        <v>19</v>
      </c>
      <c r="R19" s="15" t="s">
        <v>20</v>
      </c>
      <c r="S19" s="2"/>
      <c r="T19" s="2"/>
    </row>
    <row r="20" spans="1:22" x14ac:dyDescent="0.2">
      <c r="A20" s="4">
        <v>513135</v>
      </c>
      <c r="B20" s="4">
        <v>100</v>
      </c>
      <c r="C20" s="4">
        <v>8</v>
      </c>
      <c r="D20" s="4">
        <v>1.7</v>
      </c>
      <c r="E20" s="4">
        <v>1.1499999999999999</v>
      </c>
      <c r="F20" s="4">
        <f>IF($C20=5,D20-$D$13,IF($C20=6,D20-$D$14,IF($C20=7,D20-$D$15,IF($C20=8,D20-$D$16,D20))))</f>
        <v>1.7</v>
      </c>
      <c r="G20" s="4">
        <f>IF($C20=5,E20-$D$13,IF($C20=6,E20-$D$14,IF($C20=7,E20-$D$15,IF($C20=8,E20-$D$16,E20))))</f>
        <v>1.1499999999999999</v>
      </c>
      <c r="H20" s="4">
        <f>IF(C20=1, $I$7, IF(C20=2,$I$8,IF(C20=3,$I$9,IF(C20=4,$I$10,IF(C20=5,$I$11,IF(C20=6,$I$12,IF(C20=7,$I$13,IF(C20=8,$I$14))))))))</f>
        <v>3.913065884837013E-3</v>
      </c>
      <c r="I20" s="2">
        <f>H20*$A$9*(F20-G20)*1000/B20</f>
        <v>3.869538803417745E-2</v>
      </c>
      <c r="J20" s="4">
        <f>$A$7*($A$9*G20-($A$9-1)*F20)*H20*1000/B20</f>
        <v>6.2699192560542252E-2</v>
      </c>
      <c r="K20" s="4">
        <f>(I20+J20)</f>
        <v>0.1013945805947197</v>
      </c>
      <c r="L20" s="10">
        <f>(I20/J20)</f>
        <v>0.61715927197648102</v>
      </c>
      <c r="M20" s="2">
        <f>AVERAGE(I20:I21)</f>
        <v>4.0454269308458232E-2</v>
      </c>
      <c r="N20" s="2">
        <f>AVERAGE(J20:J21)</f>
        <v>6.9757231337976233E-2</v>
      </c>
      <c r="O20" s="4"/>
      <c r="R20" s="4"/>
      <c r="T20" s="4"/>
      <c r="U20" s="2"/>
      <c r="V20" s="5"/>
    </row>
    <row r="21" spans="1:22" x14ac:dyDescent="0.2">
      <c r="B21" s="4">
        <v>100</v>
      </c>
      <c r="C21" s="4">
        <v>8</v>
      </c>
      <c r="D21" s="4">
        <v>1.95</v>
      </c>
      <c r="E21" s="4">
        <v>1.35</v>
      </c>
      <c r="F21" s="4">
        <f t="shared" ref="F21" si="0">IF($C21=5,D21-$D$13,IF($C21=6,D21-$D$14,IF($C21=7,D21-$D$15,IF($C21=8,D21-$D$16,D21))))</f>
        <v>1.95</v>
      </c>
      <c r="G21" s="4">
        <f t="shared" ref="G21" si="1">IF($C21=5,E21-$D$13,IF($C21=6,E21-$D$14,IF($C21=7,E21-$D$15,IF($C21=8,E21-$D$16,E21))))</f>
        <v>1.35</v>
      </c>
      <c r="H21" s="4">
        <f t="shared" ref="H21" si="2">IF(C21=1, $I$7, IF(C21=2,$I$8,IF(C21=3,$I$9,IF(C21=4,$I$10,IF(C21=5,$I$11,IF(C21=6,$I$12,IF(C21=7,$I$13,IF(C21=8,$I$14))))))))</f>
        <v>3.913065884837013E-3</v>
      </c>
      <c r="I21" s="2">
        <f t="shared" ref="I21" si="3">H21*$A$9*(F21-G21)*1000/B21</f>
        <v>4.2213150582739022E-2</v>
      </c>
      <c r="J21" s="4">
        <f t="shared" ref="J21" si="4">$A$7*($A$9*G21-($A$9-1)*F21)*H21*1000/B21</f>
        <v>7.6815270115410228E-2</v>
      </c>
      <c r="K21" s="4">
        <f t="shared" ref="K21" si="5">(I21+J21)</f>
        <v>0.11902842069814926</v>
      </c>
      <c r="L21" s="10">
        <f t="shared" ref="L21" si="6">(I21/J21)</f>
        <v>0.54954113315381636</v>
      </c>
      <c r="M21" s="2"/>
      <c r="N21" s="2"/>
      <c r="O21" s="4"/>
      <c r="R21" s="4"/>
      <c r="T21" s="4"/>
      <c r="U21" s="2"/>
      <c r="V21" s="3"/>
    </row>
    <row r="22" spans="1:22" x14ac:dyDescent="0.2">
      <c r="A22" s="4">
        <v>513136</v>
      </c>
      <c r="B22" s="4">
        <v>100</v>
      </c>
      <c r="C22" s="4">
        <v>8</v>
      </c>
      <c r="D22" s="4">
        <v>1.6</v>
      </c>
      <c r="E22" s="4">
        <v>1.1499999999999999</v>
      </c>
      <c r="F22" s="4">
        <f t="shared" ref="F22:F59" si="7">IF($C22=5,D22-$D$13,IF($C22=6,D22-$D$14,IF($C22=7,D22-$D$15,IF($C22=8,D22-$D$16,D22))))</f>
        <v>1.6</v>
      </c>
      <c r="G22" s="4">
        <f t="shared" ref="G22:G59" si="8">IF($C22=5,E22-$D$13,IF($C22=6,E22-$D$14,IF($C22=7,E22-$D$15,IF($C22=8,E22-$D$16,E22))))</f>
        <v>1.1499999999999999</v>
      </c>
      <c r="H22" s="4">
        <f t="shared" ref="H22:H59" si="9">IF(C22=1, $I$7, IF(C22=2,$I$8,IF(C22=3,$I$9,IF(C22=4,$I$10,IF(C22=5,$I$11,IF(C22=6,$I$12,IF(C22=7,$I$13,IF(C22=8,$I$14))))))))</f>
        <v>3.913065884837013E-3</v>
      </c>
      <c r="I22" s="2">
        <f t="shared" ref="I22:I59" si="10">H22*$A$9*(F22-G22)*1000/B22</f>
        <v>3.1659862937054285E-2</v>
      </c>
      <c r="J22" s="4">
        <f t="shared" ref="J22:J59" si="11">$A$7*($A$9*G22-($A$9-1)*F22)*H22*1000/B22</f>
        <v>6.973471765766541E-2</v>
      </c>
      <c r="K22" s="4">
        <f t="shared" ref="K22:K59" si="12">(I22+J22)</f>
        <v>0.1013945805947197</v>
      </c>
      <c r="L22" s="10">
        <f t="shared" ref="L22:L59" si="13">(I22/J22)</f>
        <v>0.45400431808551472</v>
      </c>
      <c r="M22" s="2">
        <f t="shared" ref="M22" si="14">AVERAGE(I22:I23)</f>
        <v>4.2213150582739029E-2</v>
      </c>
      <c r="N22" s="2">
        <f t="shared" ref="N22" si="15">AVERAGE(J22:J23)</f>
        <v>6.579412005076675E-2</v>
      </c>
      <c r="O22" s="4"/>
    </row>
    <row r="23" spans="1:22" x14ac:dyDescent="0.2">
      <c r="B23" s="4">
        <v>100</v>
      </c>
      <c r="C23" s="4">
        <v>8</v>
      </c>
      <c r="D23" s="4">
        <v>2.0499999999999998</v>
      </c>
      <c r="E23" s="4">
        <v>1.3</v>
      </c>
      <c r="F23" s="4">
        <f t="shared" si="7"/>
        <v>2.0499999999999998</v>
      </c>
      <c r="G23" s="4">
        <f t="shared" si="8"/>
        <v>1.3</v>
      </c>
      <c r="H23" s="4">
        <f t="shared" si="9"/>
        <v>3.913065884837013E-3</v>
      </c>
      <c r="I23" s="2">
        <f t="shared" si="10"/>
        <v>5.2766438228423765E-2</v>
      </c>
      <c r="J23" s="4">
        <f t="shared" si="11"/>
        <v>6.1853522443868096E-2</v>
      </c>
      <c r="K23" s="4">
        <f t="shared" si="12"/>
        <v>0.11461996067229185</v>
      </c>
      <c r="L23" s="10">
        <f t="shared" si="13"/>
        <v>0.85308703762682492</v>
      </c>
      <c r="M23" s="2"/>
      <c r="N23" s="2"/>
      <c r="O23" s="4"/>
    </row>
    <row r="24" spans="1:22" x14ac:dyDescent="0.2">
      <c r="A24" s="4">
        <v>513137</v>
      </c>
      <c r="B24" s="4">
        <v>100</v>
      </c>
      <c r="C24" s="4">
        <v>8</v>
      </c>
      <c r="D24" s="4">
        <v>2.15</v>
      </c>
      <c r="E24" s="4">
        <v>1.4</v>
      </c>
      <c r="F24" s="4">
        <f t="shared" si="7"/>
        <v>2.15</v>
      </c>
      <c r="G24" s="4">
        <f t="shared" si="8"/>
        <v>1.4</v>
      </c>
      <c r="H24" s="4">
        <f t="shared" si="9"/>
        <v>3.913065884837013E-3</v>
      </c>
      <c r="I24" s="2">
        <f t="shared" si="10"/>
        <v>5.2766438228423779E-2</v>
      </c>
      <c r="J24" s="4">
        <f t="shared" si="11"/>
        <v>7.0670442495582811E-2</v>
      </c>
      <c r="K24" s="4">
        <f t="shared" si="12"/>
        <v>0.12343688072400659</v>
      </c>
      <c r="L24" s="10">
        <f t="shared" si="13"/>
        <v>0.74665498566422439</v>
      </c>
      <c r="M24" s="2">
        <f t="shared" ref="M24" si="16">AVERAGE(I24:I25)</f>
        <v>4.3972031857019818E-2</v>
      </c>
      <c r="N24" s="2">
        <f t="shared" ref="N24" si="17">AVERAGE(J24:J25)</f>
        <v>7.0647928815272015E-2</v>
      </c>
      <c r="O24" s="4"/>
    </row>
    <row r="25" spans="1:22" x14ac:dyDescent="0.2">
      <c r="B25" s="4">
        <v>100</v>
      </c>
      <c r="C25" s="4">
        <v>8</v>
      </c>
      <c r="D25" s="4">
        <v>1.7</v>
      </c>
      <c r="E25" s="4">
        <v>1.2</v>
      </c>
      <c r="F25" s="4">
        <f t="shared" si="7"/>
        <v>1.7</v>
      </c>
      <c r="G25" s="4">
        <f t="shared" si="8"/>
        <v>1.2</v>
      </c>
      <c r="H25" s="4">
        <f t="shared" si="9"/>
        <v>3.913065884837013E-3</v>
      </c>
      <c r="I25" s="2">
        <f t="shared" si="10"/>
        <v>3.5177625485615857E-2</v>
      </c>
      <c r="J25" s="4">
        <f t="shared" si="11"/>
        <v>7.062541513496122E-2</v>
      </c>
      <c r="K25" s="4">
        <f t="shared" si="12"/>
        <v>0.10580304062057708</v>
      </c>
      <c r="L25" s="10">
        <f t="shared" si="13"/>
        <v>0.49808734459674864</v>
      </c>
      <c r="M25" s="2"/>
      <c r="N25" s="2"/>
      <c r="O25" s="4"/>
    </row>
    <row r="26" spans="1:22" x14ac:dyDescent="0.2">
      <c r="A26" s="4">
        <v>513138</v>
      </c>
      <c r="B26" s="4">
        <v>100</v>
      </c>
      <c r="C26" s="4">
        <v>8</v>
      </c>
      <c r="D26" s="4">
        <v>2.35</v>
      </c>
      <c r="E26" s="4">
        <v>1.55</v>
      </c>
      <c r="F26" s="4">
        <f t="shared" si="7"/>
        <v>2.35</v>
      </c>
      <c r="G26" s="4">
        <f t="shared" si="8"/>
        <v>1.55</v>
      </c>
      <c r="H26" s="4">
        <f t="shared" si="9"/>
        <v>3.913065884837013E-3</v>
      </c>
      <c r="I26" s="2">
        <f t="shared" si="10"/>
        <v>5.6284200776985378E-2</v>
      </c>
      <c r="J26" s="4">
        <f t="shared" si="11"/>
        <v>8.037806002459337E-2</v>
      </c>
      <c r="K26" s="4">
        <f t="shared" si="12"/>
        <v>0.13666226080157876</v>
      </c>
      <c r="L26" s="10">
        <f t="shared" si="13"/>
        <v>0.70024333455875942</v>
      </c>
      <c r="M26" s="2">
        <f t="shared" ref="M26" si="18">AVERAGE(I26:I27)</f>
        <v>8.9702944988320446E-2</v>
      </c>
      <c r="N26" s="2">
        <f t="shared" ref="N26" si="19">AVERAGE(J26:J27)</f>
        <v>7.7818535994259946E-2</v>
      </c>
      <c r="O26" s="4"/>
      <c r="R26" s="4"/>
    </row>
    <row r="27" spans="1:22" x14ac:dyDescent="0.2">
      <c r="B27" s="4">
        <v>100</v>
      </c>
      <c r="C27" s="4">
        <v>8</v>
      </c>
      <c r="D27" s="4">
        <v>4</v>
      </c>
      <c r="E27" s="4">
        <v>2.25</v>
      </c>
      <c r="F27" s="4">
        <f t="shared" si="7"/>
        <v>4</v>
      </c>
      <c r="G27" s="4">
        <f t="shared" si="8"/>
        <v>2.25</v>
      </c>
      <c r="H27" s="4">
        <f t="shared" si="9"/>
        <v>3.913065884837013E-3</v>
      </c>
      <c r="I27" s="2">
        <f t="shared" si="10"/>
        <v>0.12312168919965551</v>
      </c>
      <c r="J27" s="4">
        <f t="shared" si="11"/>
        <v>7.5259011963926523E-2</v>
      </c>
      <c r="K27" s="4">
        <f t="shared" si="12"/>
        <v>0.19838070116358203</v>
      </c>
      <c r="L27" s="10">
        <f t="shared" si="13"/>
        <v>1.6359727026269058</v>
      </c>
      <c r="M27" s="2"/>
      <c r="N27" s="2"/>
      <c r="O27" s="4"/>
      <c r="R27" s="4"/>
    </row>
    <row r="28" spans="1:22" x14ac:dyDescent="0.2">
      <c r="A28" s="4">
        <v>513139</v>
      </c>
      <c r="B28" s="4">
        <v>100</v>
      </c>
      <c r="C28" s="4">
        <v>8</v>
      </c>
      <c r="D28" s="4">
        <v>6.5</v>
      </c>
      <c r="E28" s="4">
        <v>3.55</v>
      </c>
      <c r="F28" s="4">
        <f t="shared" si="7"/>
        <v>6.5</v>
      </c>
      <c r="G28" s="4">
        <f t="shared" si="8"/>
        <v>3.55</v>
      </c>
      <c r="H28" s="4">
        <f t="shared" si="9"/>
        <v>3.913065884837013E-3</v>
      </c>
      <c r="I28" s="2">
        <f t="shared" si="10"/>
        <v>0.20754799036513355</v>
      </c>
      <c r="J28" s="4">
        <f t="shared" si="11"/>
        <v>0.10545267147074031</v>
      </c>
      <c r="K28" s="4">
        <f t="shared" si="12"/>
        <v>0.31300066183587383</v>
      </c>
      <c r="L28" s="10">
        <f t="shared" si="13"/>
        <v>1.9681624701439773</v>
      </c>
      <c r="M28" s="2">
        <f t="shared" ref="M28" si="20">AVERAGE(I28:I29)</f>
        <v>0.20930687163941436</v>
      </c>
      <c r="N28" s="2">
        <f t="shared" ref="N28" si="21">AVERAGE(J28:J29)</f>
        <v>9.7081100157673433E-2</v>
      </c>
      <c r="O28" s="4"/>
      <c r="R28" s="4"/>
    </row>
    <row r="29" spans="1:22" x14ac:dyDescent="0.2">
      <c r="B29" s="4">
        <v>100</v>
      </c>
      <c r="C29" s="4">
        <v>8</v>
      </c>
      <c r="D29" s="4">
        <v>6.4</v>
      </c>
      <c r="E29" s="4">
        <v>3.4</v>
      </c>
      <c r="F29" s="4">
        <f t="shared" si="7"/>
        <v>6.4</v>
      </c>
      <c r="G29" s="4">
        <f t="shared" si="8"/>
        <v>3.4</v>
      </c>
      <c r="H29" s="4">
        <f t="shared" si="9"/>
        <v>3.913065884837013E-3</v>
      </c>
      <c r="I29" s="2">
        <f t="shared" si="10"/>
        <v>0.21106575291369517</v>
      </c>
      <c r="J29" s="4">
        <f t="shared" si="11"/>
        <v>8.8709528844606547E-2</v>
      </c>
      <c r="K29" s="4">
        <f t="shared" si="12"/>
        <v>0.2997752817583017</v>
      </c>
      <c r="L29" s="10">
        <f t="shared" si="13"/>
        <v>2.3792906541463132</v>
      </c>
      <c r="M29" s="2"/>
      <c r="N29" s="2"/>
      <c r="O29" s="4"/>
      <c r="R29" s="4"/>
    </row>
    <row r="30" spans="1:22" x14ac:dyDescent="0.2">
      <c r="A30" s="4">
        <v>513140</v>
      </c>
      <c r="B30" s="4">
        <v>100</v>
      </c>
      <c r="C30" s="4">
        <v>8</v>
      </c>
      <c r="D30" s="4">
        <v>7.15</v>
      </c>
      <c r="E30" s="4">
        <v>3.85</v>
      </c>
      <c r="F30" s="4">
        <f t="shared" si="7"/>
        <v>7.15</v>
      </c>
      <c r="G30" s="4">
        <f t="shared" si="8"/>
        <v>3.85</v>
      </c>
      <c r="H30" s="4">
        <f t="shared" si="9"/>
        <v>3.913065884837013E-3</v>
      </c>
      <c r="I30" s="2">
        <f t="shared" si="10"/>
        <v>0.2321723282050647</v>
      </c>
      <c r="J30" s="4">
        <f t="shared" si="11"/>
        <v>0.10727909378595347</v>
      </c>
      <c r="K30" s="4">
        <f t="shared" si="12"/>
        <v>0.33945142199101819</v>
      </c>
      <c r="L30" s="10">
        <f t="shared" si="13"/>
        <v>2.1641898715914025</v>
      </c>
      <c r="M30" s="2">
        <f t="shared" ref="M30" si="22">AVERAGE(I30:I31)</f>
        <v>0.23569009075362629</v>
      </c>
      <c r="N30" s="2">
        <f t="shared" ref="N30" si="23">AVERAGE(J30:J31)</f>
        <v>0.11478248130203535</v>
      </c>
      <c r="O30" s="4"/>
      <c r="R30" s="4"/>
    </row>
    <row r="31" spans="1:22" x14ac:dyDescent="0.2">
      <c r="B31" s="4">
        <v>100</v>
      </c>
      <c r="C31" s="4">
        <v>8</v>
      </c>
      <c r="D31" s="4">
        <v>7.5</v>
      </c>
      <c r="E31" s="4">
        <v>4.0999999999999996</v>
      </c>
      <c r="F31" s="4">
        <f t="shared" si="7"/>
        <v>7.5</v>
      </c>
      <c r="G31" s="4">
        <f t="shared" si="8"/>
        <v>4.0999999999999996</v>
      </c>
      <c r="H31" s="4">
        <f t="shared" si="9"/>
        <v>3.913065884837013E-3</v>
      </c>
      <c r="I31" s="2">
        <f t="shared" si="10"/>
        <v>0.23920785330218788</v>
      </c>
      <c r="J31" s="4">
        <f t="shared" si="11"/>
        <v>0.12228586881811722</v>
      </c>
      <c r="K31" s="4">
        <f t="shared" si="12"/>
        <v>0.36149372212030512</v>
      </c>
      <c r="L31" s="10">
        <f t="shared" si="13"/>
        <v>1.9561365153153996</v>
      </c>
      <c r="M31" s="2"/>
      <c r="N31" s="2"/>
      <c r="O31" s="4"/>
      <c r="R31" s="4"/>
    </row>
    <row r="32" spans="1:22" x14ac:dyDescent="0.2">
      <c r="A32" s="4">
        <v>513141</v>
      </c>
      <c r="B32" s="4">
        <v>100</v>
      </c>
      <c r="C32" s="4">
        <v>7</v>
      </c>
      <c r="D32" s="4">
        <v>4</v>
      </c>
      <c r="E32" s="4">
        <v>1.95</v>
      </c>
      <c r="F32" s="4">
        <f t="shared" si="7"/>
        <v>4</v>
      </c>
      <c r="G32" s="4">
        <f t="shared" si="8"/>
        <v>1.95</v>
      </c>
      <c r="H32" s="4">
        <f t="shared" si="9"/>
        <v>1.1969109850497893E-2</v>
      </c>
      <c r="I32" s="2">
        <f t="shared" si="10"/>
        <v>0.44115892551899777</v>
      </c>
      <c r="J32" s="4">
        <f t="shared" si="11"/>
        <v>8.4732641626268312E-2</v>
      </c>
      <c r="K32" s="4">
        <f t="shared" si="12"/>
        <v>0.52589156714526608</v>
      </c>
      <c r="L32" s="10">
        <f t="shared" si="13"/>
        <v>5.2064814344491328</v>
      </c>
      <c r="M32" s="2">
        <f t="shared" ref="M32" si="24">AVERAGE(I32:I33)</f>
        <v>0.38197906965669315</v>
      </c>
      <c r="N32" s="2">
        <f t="shared" ref="N32" si="25">AVERAGE(J32:J33)</f>
        <v>0.10345930001586016</v>
      </c>
      <c r="O32" s="4"/>
      <c r="R32" s="4"/>
    </row>
    <row r="33" spans="1:18" x14ac:dyDescent="0.2">
      <c r="B33" s="4">
        <v>100</v>
      </c>
      <c r="C33" s="4">
        <v>7</v>
      </c>
      <c r="D33" s="4">
        <v>3.15</v>
      </c>
      <c r="E33" s="4">
        <v>1.65</v>
      </c>
      <c r="F33" s="4">
        <f t="shared" si="7"/>
        <v>3.15</v>
      </c>
      <c r="G33" s="4">
        <f t="shared" si="8"/>
        <v>1.65</v>
      </c>
      <c r="H33" s="4">
        <f t="shared" si="9"/>
        <v>1.1969109850497893E-2</v>
      </c>
      <c r="I33" s="2">
        <f t="shared" si="10"/>
        <v>0.32279921379438858</v>
      </c>
      <c r="J33" s="4">
        <f t="shared" si="11"/>
        <v>0.12218595840545202</v>
      </c>
      <c r="K33" s="4">
        <f t="shared" si="12"/>
        <v>0.44498517219984057</v>
      </c>
      <c r="L33" s="10">
        <f t="shared" si="13"/>
        <v>2.6418683292824676</v>
      </c>
      <c r="M33" s="2"/>
      <c r="N33" s="2"/>
      <c r="O33" s="4"/>
      <c r="R33" s="4"/>
    </row>
    <row r="34" spans="1:18" x14ac:dyDescent="0.2">
      <c r="A34" s="4">
        <v>513142</v>
      </c>
      <c r="B34" s="4">
        <v>100</v>
      </c>
      <c r="C34" s="4">
        <v>7</v>
      </c>
      <c r="D34" s="4">
        <v>3.7</v>
      </c>
      <c r="E34" s="4">
        <v>1.9</v>
      </c>
      <c r="F34" s="4">
        <f t="shared" si="7"/>
        <v>3.7</v>
      </c>
      <c r="G34" s="4">
        <f t="shared" si="8"/>
        <v>1.9</v>
      </c>
      <c r="H34" s="4">
        <f t="shared" si="9"/>
        <v>1.1969109850497893E-2</v>
      </c>
      <c r="I34" s="2">
        <f t="shared" si="10"/>
        <v>0.38735905655326641</v>
      </c>
      <c r="J34" s="4">
        <f t="shared" si="11"/>
        <v>0.12504811143442882</v>
      </c>
      <c r="K34" s="4">
        <f t="shared" si="12"/>
        <v>0.51240716798769526</v>
      </c>
      <c r="L34" s="10">
        <f t="shared" si="13"/>
        <v>3.0976801817305732</v>
      </c>
      <c r="M34" s="2">
        <f t="shared" ref="M34" si="26">AVERAGE(I34:I35)</f>
        <v>0.40887900413955891</v>
      </c>
      <c r="N34" s="2">
        <f t="shared" ref="N34" si="27">AVERAGE(J34:J35)</f>
        <v>9.6785964269350822E-2</v>
      </c>
      <c r="O34" s="4"/>
      <c r="R34" s="4"/>
    </row>
    <row r="35" spans="1:18" x14ac:dyDescent="0.2">
      <c r="B35" s="4">
        <v>100</v>
      </c>
      <c r="C35" s="4">
        <v>7</v>
      </c>
      <c r="D35" s="4">
        <v>3.85</v>
      </c>
      <c r="E35" s="4">
        <v>1.85</v>
      </c>
      <c r="F35" s="4">
        <f t="shared" si="7"/>
        <v>3.85</v>
      </c>
      <c r="G35" s="4">
        <f t="shared" si="8"/>
        <v>1.85</v>
      </c>
      <c r="H35" s="4">
        <f t="shared" si="9"/>
        <v>1.1969109850497893E-2</v>
      </c>
      <c r="I35" s="2">
        <f t="shared" si="10"/>
        <v>0.43039895172585146</v>
      </c>
      <c r="J35" s="4">
        <f t="shared" si="11"/>
        <v>6.8523817104272813E-2</v>
      </c>
      <c r="K35" s="4">
        <f t="shared" si="12"/>
        <v>0.49892276883012426</v>
      </c>
      <c r="L35" s="10">
        <f t="shared" si="13"/>
        <v>6.2810124992148735</v>
      </c>
      <c r="M35" s="2"/>
      <c r="N35" s="2"/>
      <c r="O35" s="4"/>
      <c r="R35" s="4"/>
    </row>
    <row r="36" spans="1:18" x14ac:dyDescent="0.2">
      <c r="A36" s="4">
        <v>513143</v>
      </c>
      <c r="B36" s="4">
        <v>100</v>
      </c>
      <c r="C36" s="4">
        <v>7</v>
      </c>
      <c r="D36" s="4">
        <v>2.75</v>
      </c>
      <c r="E36" s="4">
        <v>1.45</v>
      </c>
      <c r="F36" s="4">
        <f t="shared" si="7"/>
        <v>2.75</v>
      </c>
      <c r="G36" s="4">
        <f t="shared" si="8"/>
        <v>1.45</v>
      </c>
      <c r="H36" s="4">
        <f t="shared" si="9"/>
        <v>1.1969109850497893E-2</v>
      </c>
      <c r="I36" s="2">
        <f t="shared" si="10"/>
        <v>0.27975931862180348</v>
      </c>
      <c r="J36" s="4">
        <f t="shared" si="11"/>
        <v>0.11128825694775339</v>
      </c>
      <c r="K36" s="4">
        <f t="shared" si="12"/>
        <v>0.39104757556955688</v>
      </c>
      <c r="L36" s="10">
        <f t="shared" si="13"/>
        <v>2.5138260432378088</v>
      </c>
      <c r="M36" s="2">
        <f t="shared" ref="M36" si="28">AVERAGE(I36:I37)</f>
        <v>0.28513930551837663</v>
      </c>
      <c r="N36" s="2">
        <f t="shared" ref="N36" si="29">AVERAGE(J36:J37)</f>
        <v>0.12613486878753671</v>
      </c>
      <c r="O36" s="4"/>
    </row>
    <row r="37" spans="1:18" x14ac:dyDescent="0.2">
      <c r="B37" s="4">
        <v>100</v>
      </c>
      <c r="C37" s="4">
        <v>7</v>
      </c>
      <c r="D37" s="4">
        <v>2.95</v>
      </c>
      <c r="E37" s="4">
        <v>1.6</v>
      </c>
      <c r="F37" s="4">
        <f t="shared" si="7"/>
        <v>2.95</v>
      </c>
      <c r="G37" s="4">
        <f t="shared" si="8"/>
        <v>1.6</v>
      </c>
      <c r="H37" s="4">
        <f t="shared" si="9"/>
        <v>1.1969109850497893E-2</v>
      </c>
      <c r="I37" s="2">
        <f t="shared" si="10"/>
        <v>0.29051929241494978</v>
      </c>
      <c r="J37" s="4">
        <f t="shared" si="11"/>
        <v>0.14098148062732002</v>
      </c>
      <c r="K37" s="4">
        <f t="shared" si="12"/>
        <v>0.4315007730422698</v>
      </c>
      <c r="L37" s="10">
        <f t="shared" si="13"/>
        <v>2.060691171083159</v>
      </c>
      <c r="M37" s="2"/>
      <c r="N37" s="2"/>
      <c r="O37" s="4"/>
    </row>
    <row r="38" spans="1:18" x14ac:dyDescent="0.2">
      <c r="A38" s="4">
        <v>513144</v>
      </c>
      <c r="B38" s="4">
        <v>100</v>
      </c>
      <c r="C38" s="4">
        <v>7</v>
      </c>
      <c r="D38" s="4">
        <v>3.65</v>
      </c>
      <c r="E38" s="4">
        <v>1.75</v>
      </c>
      <c r="F38" s="4">
        <f t="shared" si="7"/>
        <v>3.65</v>
      </c>
      <c r="G38" s="4">
        <f t="shared" si="8"/>
        <v>1.75</v>
      </c>
      <c r="H38" s="4">
        <f t="shared" si="9"/>
        <v>1.1969109850497893E-2</v>
      </c>
      <c r="I38" s="2">
        <f t="shared" si="10"/>
        <v>0.40887900413955891</v>
      </c>
      <c r="J38" s="4">
        <f t="shared" si="11"/>
        <v>6.3074966375423439E-2</v>
      </c>
      <c r="K38" s="4">
        <f t="shared" si="12"/>
        <v>0.47195397051498233</v>
      </c>
      <c r="L38" s="10">
        <f t="shared" si="13"/>
        <v>6.4824292050494812</v>
      </c>
      <c r="M38" s="2">
        <f t="shared" ref="M38" si="30">AVERAGE(I38:I39)</f>
        <v>0.44115892551899782</v>
      </c>
      <c r="N38" s="2">
        <f t="shared" ref="N38" si="31">AVERAGE(J38:J39)</f>
        <v>7.124824246869732E-2</v>
      </c>
      <c r="O38" s="4"/>
    </row>
    <row r="39" spans="1:18" x14ac:dyDescent="0.2">
      <c r="A39" s="4" t="s">
        <v>27</v>
      </c>
      <c r="B39" s="4">
        <v>100</v>
      </c>
      <c r="C39" s="4">
        <v>7</v>
      </c>
      <c r="D39" s="4">
        <v>4.25</v>
      </c>
      <c r="E39" s="4">
        <v>2.0499999999999998</v>
      </c>
      <c r="F39" s="4">
        <f t="shared" si="7"/>
        <v>4.25</v>
      </c>
      <c r="G39" s="4">
        <f t="shared" si="8"/>
        <v>2.0499999999999998</v>
      </c>
      <c r="H39" s="4">
        <f t="shared" si="9"/>
        <v>1.1969109850497893E-2</v>
      </c>
      <c r="I39" s="2">
        <f t="shared" si="10"/>
        <v>0.47343884689843668</v>
      </c>
      <c r="J39" s="4">
        <f t="shared" si="11"/>
        <v>7.9421518561971216E-2</v>
      </c>
      <c r="K39" s="4">
        <f t="shared" si="12"/>
        <v>0.55286036546040784</v>
      </c>
      <c r="L39" s="10">
        <f t="shared" si="13"/>
        <v>5.9610903376144924</v>
      </c>
      <c r="M39" s="2"/>
      <c r="N39" s="2"/>
      <c r="O39" s="4"/>
    </row>
    <row r="40" spans="1:18" x14ac:dyDescent="0.2">
      <c r="A40" s="4">
        <v>513147</v>
      </c>
      <c r="B40" s="4">
        <v>100</v>
      </c>
      <c r="C40" s="4">
        <v>8</v>
      </c>
      <c r="D40" s="4">
        <v>1.5</v>
      </c>
      <c r="E40" s="4">
        <v>0.95</v>
      </c>
      <c r="F40" s="4">
        <f t="shared" si="7"/>
        <v>1.5</v>
      </c>
      <c r="G40" s="4">
        <f t="shared" si="8"/>
        <v>0.95</v>
      </c>
      <c r="H40" s="4">
        <f t="shared" si="9"/>
        <v>3.913065884837013E-3</v>
      </c>
      <c r="I40" s="2">
        <f t="shared" si="10"/>
        <v>3.869538803417745E-2</v>
      </c>
      <c r="J40" s="4">
        <f t="shared" si="11"/>
        <v>4.5065352457112733E-2</v>
      </c>
      <c r="K40" s="4">
        <f t="shared" si="12"/>
        <v>8.3760740491290175E-2</v>
      </c>
      <c r="L40" s="10">
        <f t="shared" si="13"/>
        <v>0.85865051362912614</v>
      </c>
      <c r="M40" s="2">
        <f t="shared" ref="M40" si="32">AVERAGE(I40:I41)</f>
        <v>3.6936506759896653E-2</v>
      </c>
      <c r="N40" s="2">
        <f t="shared" ref="N40" si="33">AVERAGE(J40:J41)</f>
        <v>5.3436923770179612E-2</v>
      </c>
      <c r="O40" s="4"/>
    </row>
    <row r="41" spans="1:18" x14ac:dyDescent="0.2">
      <c r="B41" s="4">
        <v>100</v>
      </c>
      <c r="C41" s="4">
        <v>8</v>
      </c>
      <c r="D41" s="4">
        <v>1.6</v>
      </c>
      <c r="E41" s="4">
        <v>1.1000000000000001</v>
      </c>
      <c r="F41" s="4">
        <f t="shared" si="7"/>
        <v>1.6</v>
      </c>
      <c r="G41" s="4">
        <f t="shared" si="8"/>
        <v>1.1000000000000001</v>
      </c>
      <c r="H41" s="4">
        <f t="shared" si="9"/>
        <v>3.913065884837013E-3</v>
      </c>
      <c r="I41" s="2">
        <f t="shared" si="10"/>
        <v>3.5177625485615857E-2</v>
      </c>
      <c r="J41" s="4">
        <f t="shared" si="11"/>
        <v>6.1808495083246491E-2</v>
      </c>
      <c r="K41" s="4">
        <f t="shared" si="12"/>
        <v>9.6986120568862355E-2</v>
      </c>
      <c r="L41" s="10">
        <f t="shared" si="13"/>
        <v>0.56913900651095017</v>
      </c>
      <c r="M41" s="2"/>
      <c r="N41" s="2"/>
      <c r="O41" s="4"/>
    </row>
    <row r="42" spans="1:18" x14ac:dyDescent="0.2">
      <c r="A42" s="4">
        <v>513148</v>
      </c>
      <c r="B42" s="4">
        <v>100</v>
      </c>
      <c r="C42" s="4">
        <v>8</v>
      </c>
      <c r="D42" s="4">
        <v>2.2999999999999998</v>
      </c>
      <c r="E42" s="4">
        <v>1.55</v>
      </c>
      <c r="F42" s="4">
        <f t="shared" si="7"/>
        <v>2.2999999999999998</v>
      </c>
      <c r="G42" s="4">
        <f t="shared" si="8"/>
        <v>1.55</v>
      </c>
      <c r="H42" s="4">
        <f t="shared" si="9"/>
        <v>3.913065884837013E-3</v>
      </c>
      <c r="I42" s="2">
        <f t="shared" si="10"/>
        <v>5.2766438228423765E-2</v>
      </c>
      <c r="J42" s="4">
        <f t="shared" si="11"/>
        <v>8.3895822573154991E-2</v>
      </c>
      <c r="K42" s="4">
        <f t="shared" si="12"/>
        <v>0.13666226080157876</v>
      </c>
      <c r="L42" s="10">
        <f t="shared" si="13"/>
        <v>0.6289519145296274</v>
      </c>
      <c r="M42" s="2">
        <f t="shared" ref="M42" si="34">AVERAGE(I42:I43)</f>
        <v>6.3319725874108529E-2</v>
      </c>
      <c r="N42" s="2">
        <f t="shared" ref="N42" si="35">AVERAGE(J42:J43)</f>
        <v>7.5546764940398928E-2</v>
      </c>
      <c r="O42" s="4"/>
    </row>
    <row r="43" spans="1:18" x14ac:dyDescent="0.2">
      <c r="B43" s="4">
        <v>100</v>
      </c>
      <c r="C43" s="4">
        <v>8</v>
      </c>
      <c r="D43" s="4">
        <v>2.65</v>
      </c>
      <c r="E43" s="4">
        <v>1.6</v>
      </c>
      <c r="F43" s="4">
        <f t="shared" si="7"/>
        <v>2.65</v>
      </c>
      <c r="G43" s="4">
        <f t="shared" si="8"/>
        <v>1.6</v>
      </c>
      <c r="H43" s="4">
        <f t="shared" si="9"/>
        <v>3.913065884837013E-3</v>
      </c>
      <c r="I43" s="2">
        <f t="shared" si="10"/>
        <v>7.3873013519793293E-2</v>
      </c>
      <c r="J43" s="4">
        <f t="shared" si="11"/>
        <v>6.7197707307642865E-2</v>
      </c>
      <c r="K43" s="4">
        <f t="shared" si="12"/>
        <v>0.14107072082743616</v>
      </c>
      <c r="L43" s="10">
        <f t="shared" si="13"/>
        <v>1.0993383030404551</v>
      </c>
      <c r="M43" s="2"/>
      <c r="N43" s="2"/>
      <c r="O43" s="12"/>
      <c r="P43" s="18"/>
    </row>
    <row r="44" spans="1:18" x14ac:dyDescent="0.2">
      <c r="A44" s="4">
        <v>513149</v>
      </c>
      <c r="B44" s="4">
        <v>100</v>
      </c>
      <c r="C44" s="4">
        <v>8</v>
      </c>
      <c r="D44" s="4">
        <v>2.25</v>
      </c>
      <c r="E44" s="4">
        <v>1.45</v>
      </c>
      <c r="F44" s="4">
        <f t="shared" si="7"/>
        <v>2.25</v>
      </c>
      <c r="G44" s="4">
        <f t="shared" si="8"/>
        <v>1.45</v>
      </c>
      <c r="H44" s="4">
        <f t="shared" si="9"/>
        <v>3.913065884837013E-3</v>
      </c>
      <c r="I44" s="2">
        <f t="shared" si="10"/>
        <v>5.6284200776985378E-2</v>
      </c>
      <c r="J44" s="4">
        <f t="shared" si="11"/>
        <v>7.1561139972878635E-2</v>
      </c>
      <c r="K44" s="4">
        <f t="shared" si="12"/>
        <v>0.12784534074986401</v>
      </c>
      <c r="L44" s="10">
        <f t="shared" si="13"/>
        <v>0.78651906325579568</v>
      </c>
      <c r="M44" s="2">
        <f t="shared" ref="M44" si="36">AVERAGE(I44:I45)</f>
        <v>7.3873013519793307E-2</v>
      </c>
      <c r="N44" s="2">
        <f t="shared" ref="N44" si="37">AVERAGE(J44:J45)</f>
        <v>6.4993477294714122E-2</v>
      </c>
      <c r="O44" s="4"/>
      <c r="Q44" s="19"/>
    </row>
    <row r="45" spans="1:18" x14ac:dyDescent="0.2">
      <c r="B45" s="4">
        <v>100</v>
      </c>
      <c r="C45" s="4">
        <v>8</v>
      </c>
      <c r="D45" s="4">
        <v>3</v>
      </c>
      <c r="E45" s="4">
        <v>1.7</v>
      </c>
      <c r="F45" s="4">
        <f t="shared" si="7"/>
        <v>3</v>
      </c>
      <c r="G45" s="4">
        <f t="shared" si="8"/>
        <v>1.7</v>
      </c>
      <c r="H45" s="4">
        <f t="shared" si="9"/>
        <v>3.913065884837013E-3</v>
      </c>
      <c r="I45" s="2">
        <f t="shared" si="10"/>
        <v>9.1461826262601228E-2</v>
      </c>
      <c r="J45" s="4">
        <f t="shared" si="11"/>
        <v>5.8425814616549616E-2</v>
      </c>
      <c r="K45" s="4">
        <f t="shared" si="12"/>
        <v>0.14988764087915085</v>
      </c>
      <c r="L45" s="10">
        <f t="shared" si="13"/>
        <v>1.5654351909830946</v>
      </c>
      <c r="M45" s="2"/>
      <c r="N45" s="2"/>
      <c r="O45" s="4"/>
      <c r="Q45" s="19"/>
    </row>
    <row r="46" spans="1:18" x14ac:dyDescent="0.2">
      <c r="A46" s="4">
        <v>513150</v>
      </c>
      <c r="B46" s="4">
        <v>100</v>
      </c>
      <c r="C46" s="4">
        <v>8</v>
      </c>
      <c r="D46" s="4">
        <v>3.45</v>
      </c>
      <c r="E46" s="4">
        <v>2.0499999999999998</v>
      </c>
      <c r="F46" s="4">
        <f t="shared" si="7"/>
        <v>3.45</v>
      </c>
      <c r="G46" s="4">
        <f t="shared" si="8"/>
        <v>2.0499999999999998</v>
      </c>
      <c r="H46" s="4">
        <f t="shared" si="9"/>
        <v>3.913065884837013E-3</v>
      </c>
      <c r="I46" s="2">
        <f t="shared" si="10"/>
        <v>9.8497351359724414E-2</v>
      </c>
      <c r="J46" s="4">
        <f t="shared" si="11"/>
        <v>8.2249509700428089E-2</v>
      </c>
      <c r="K46" s="4">
        <f t="shared" si="12"/>
        <v>0.1807468610601525</v>
      </c>
      <c r="L46" s="10">
        <f t="shared" si="13"/>
        <v>1.197543325406738</v>
      </c>
      <c r="M46" s="2">
        <f t="shared" ref="M46" si="38">AVERAGE(I46:I47)</f>
        <v>0.13015721429677868</v>
      </c>
      <c r="N46" s="2">
        <f t="shared" ref="N46" si="39">AVERAGE(J46:J47)</f>
        <v>7.2631946892660726E-2</v>
      </c>
      <c r="O46" s="4"/>
      <c r="Q46" s="19"/>
    </row>
    <row r="47" spans="1:18" x14ac:dyDescent="0.2">
      <c r="B47" s="4">
        <v>100</v>
      </c>
      <c r="C47" s="4">
        <v>8</v>
      </c>
      <c r="D47" s="4">
        <v>4.8499999999999996</v>
      </c>
      <c r="E47" s="4">
        <v>2.5499999999999998</v>
      </c>
      <c r="F47" s="4">
        <f t="shared" si="7"/>
        <v>4.8499999999999996</v>
      </c>
      <c r="G47" s="4">
        <f t="shared" si="8"/>
        <v>2.5499999999999998</v>
      </c>
      <c r="H47" s="4">
        <f t="shared" si="9"/>
        <v>3.913065884837013E-3</v>
      </c>
      <c r="I47" s="2">
        <f t="shared" si="10"/>
        <v>0.16181707723383293</v>
      </c>
      <c r="J47" s="4">
        <f t="shared" si="11"/>
        <v>6.3014384084893363E-2</v>
      </c>
      <c r="K47" s="4">
        <f t="shared" si="12"/>
        <v>0.22483146131872628</v>
      </c>
      <c r="L47" s="10">
        <f t="shared" si="13"/>
        <v>2.5679387267489906</v>
      </c>
      <c r="M47" s="2"/>
      <c r="N47" s="2"/>
      <c r="O47" s="4"/>
      <c r="Q47" s="19"/>
    </row>
    <row r="48" spans="1:18" x14ac:dyDescent="0.2">
      <c r="A48" s="4">
        <v>513151</v>
      </c>
      <c r="B48" s="4">
        <v>100</v>
      </c>
      <c r="C48" s="4">
        <v>8</v>
      </c>
      <c r="D48" s="4">
        <v>5.25</v>
      </c>
      <c r="E48" s="4">
        <v>2.65</v>
      </c>
      <c r="F48" s="4">
        <f t="shared" si="7"/>
        <v>5.25</v>
      </c>
      <c r="G48" s="4">
        <f t="shared" si="8"/>
        <v>2.65</v>
      </c>
      <c r="H48" s="4">
        <f t="shared" si="9"/>
        <v>3.913065884837013E-3</v>
      </c>
      <c r="I48" s="2">
        <f t="shared" si="10"/>
        <v>0.18292365252520246</v>
      </c>
      <c r="J48" s="4">
        <f t="shared" si="11"/>
        <v>5.0724728845238619E-2</v>
      </c>
      <c r="K48" s="4">
        <f t="shared" si="12"/>
        <v>0.23364838137044108</v>
      </c>
      <c r="L48" s="10">
        <f t="shared" si="13"/>
        <v>3.6062026685899764</v>
      </c>
      <c r="M48" s="2">
        <f t="shared" ref="M48" si="40">AVERAGE(I48:I49)</f>
        <v>0.18468253379948327</v>
      </c>
      <c r="N48" s="2">
        <f t="shared" ref="N48" si="41">AVERAGE(J48:J49)</f>
        <v>5.5578537609743878E-2</v>
      </c>
      <c r="O48" s="4"/>
      <c r="Q48" s="19"/>
    </row>
    <row r="49" spans="1:17" x14ac:dyDescent="0.2">
      <c r="B49" s="4">
        <v>100</v>
      </c>
      <c r="C49" s="4">
        <v>8</v>
      </c>
      <c r="D49" s="4">
        <v>5.45</v>
      </c>
      <c r="E49" s="4">
        <v>2.8</v>
      </c>
      <c r="F49" s="4">
        <f t="shared" si="7"/>
        <v>5.45</v>
      </c>
      <c r="G49" s="4">
        <f t="shared" si="8"/>
        <v>2.8</v>
      </c>
      <c r="H49" s="4">
        <f t="shared" si="9"/>
        <v>3.913065884837013E-3</v>
      </c>
      <c r="I49" s="2">
        <f t="shared" si="10"/>
        <v>0.18644141507376408</v>
      </c>
      <c r="J49" s="4">
        <f t="shared" si="11"/>
        <v>6.0432346374249137E-2</v>
      </c>
      <c r="K49" s="4">
        <f t="shared" si="12"/>
        <v>0.24687376144801321</v>
      </c>
      <c r="L49" s="10">
        <f t="shared" si="13"/>
        <v>3.085126199124526</v>
      </c>
      <c r="M49" s="2"/>
      <c r="N49" s="2"/>
      <c r="O49" s="4"/>
      <c r="Q49" s="19"/>
    </row>
    <row r="50" spans="1:17" x14ac:dyDescent="0.2">
      <c r="A50" s="4">
        <v>513152</v>
      </c>
      <c r="B50" s="4">
        <v>100</v>
      </c>
      <c r="C50" s="4">
        <v>8</v>
      </c>
      <c r="D50" s="4">
        <v>5.5</v>
      </c>
      <c r="E50" s="4">
        <v>2.9</v>
      </c>
      <c r="F50" s="4">
        <f t="shared" si="7"/>
        <v>5.5</v>
      </c>
      <c r="G50" s="4">
        <f t="shared" si="8"/>
        <v>2.9</v>
      </c>
      <c r="H50" s="4">
        <f t="shared" si="9"/>
        <v>3.913065884837013E-3</v>
      </c>
      <c r="I50" s="2">
        <f t="shared" si="10"/>
        <v>0.18292365252520246</v>
      </c>
      <c r="J50" s="4">
        <f t="shared" si="11"/>
        <v>7.2767028974525513E-2</v>
      </c>
      <c r="K50" s="4">
        <f t="shared" si="12"/>
        <v>0.25569068149972796</v>
      </c>
      <c r="L50" s="10">
        <f t="shared" si="13"/>
        <v>2.5138260432378088</v>
      </c>
      <c r="M50" s="2">
        <f t="shared" ref="M50" si="42">AVERAGE(I50:I51)</f>
        <v>0.21282463418797593</v>
      </c>
      <c r="N50" s="2">
        <f t="shared" ref="N50" si="43">AVERAGE(J50:J51)</f>
        <v>7.592949750568237E-2</v>
      </c>
      <c r="O50" s="4"/>
      <c r="Q50" s="19"/>
    </row>
    <row r="51" spans="1:17" x14ac:dyDescent="0.2">
      <c r="B51" s="4">
        <v>100</v>
      </c>
      <c r="C51" s="4">
        <v>8</v>
      </c>
      <c r="D51" s="4">
        <v>7.1</v>
      </c>
      <c r="E51" s="4">
        <v>3.65</v>
      </c>
      <c r="F51" s="4">
        <f t="shared" si="7"/>
        <v>7.1</v>
      </c>
      <c r="G51" s="4">
        <f t="shared" si="8"/>
        <v>3.65</v>
      </c>
      <c r="H51" s="4">
        <f t="shared" si="9"/>
        <v>3.913065884837013E-3</v>
      </c>
      <c r="I51" s="2">
        <f t="shared" si="10"/>
        <v>0.24272561585074939</v>
      </c>
      <c r="J51" s="4">
        <f t="shared" si="11"/>
        <v>7.9091966036839226E-2</v>
      </c>
      <c r="K51" s="4">
        <f t="shared" si="12"/>
        <v>0.32181758188758863</v>
      </c>
      <c r="L51" s="10">
        <f t="shared" si="13"/>
        <v>3.0689035563699778</v>
      </c>
      <c r="M51" s="2"/>
      <c r="N51" s="2"/>
      <c r="O51" s="4"/>
      <c r="Q51" s="19"/>
    </row>
    <row r="52" spans="1:17" x14ac:dyDescent="0.2">
      <c r="A52" s="4">
        <v>513153</v>
      </c>
      <c r="B52" s="4">
        <v>100</v>
      </c>
      <c r="C52" s="4">
        <v>8</v>
      </c>
      <c r="D52" s="4">
        <v>5.15</v>
      </c>
      <c r="E52" s="4">
        <v>2.7</v>
      </c>
      <c r="F52" s="4">
        <f t="shared" si="7"/>
        <v>5.15</v>
      </c>
      <c r="G52" s="4">
        <f t="shared" si="8"/>
        <v>2.7</v>
      </c>
      <c r="H52" s="4">
        <f t="shared" si="9"/>
        <v>3.913065884837013E-3</v>
      </c>
      <c r="I52" s="2">
        <f t="shared" si="10"/>
        <v>0.17237036487951771</v>
      </c>
      <c r="J52" s="4">
        <f t="shared" si="11"/>
        <v>6.5686476516780778E-2</v>
      </c>
      <c r="K52" s="4">
        <f t="shared" si="12"/>
        <v>0.23805684139629849</v>
      </c>
      <c r="L52" s="10">
        <f t="shared" si="13"/>
        <v>2.6241377832997732</v>
      </c>
      <c r="M52" s="2">
        <f t="shared" ref="M52" si="44">AVERAGE(I52:I53)</f>
        <v>0.1670937210566753</v>
      </c>
      <c r="N52" s="2">
        <f t="shared" ref="N52" si="45">AVERAGE(J52:J53)</f>
        <v>6.4350430300837064E-2</v>
      </c>
      <c r="O52" s="12"/>
      <c r="Q52" s="19"/>
    </row>
    <row r="53" spans="1:17" x14ac:dyDescent="0.2">
      <c r="B53" s="4">
        <v>100</v>
      </c>
      <c r="C53" s="4">
        <v>8</v>
      </c>
      <c r="D53" s="4">
        <v>4.8499999999999996</v>
      </c>
      <c r="E53" s="4">
        <v>2.5499999999999998</v>
      </c>
      <c r="F53" s="4">
        <f t="shared" si="7"/>
        <v>4.8499999999999996</v>
      </c>
      <c r="G53" s="4">
        <f t="shared" si="8"/>
        <v>2.5499999999999998</v>
      </c>
      <c r="H53" s="4">
        <f t="shared" si="9"/>
        <v>3.913065884837013E-3</v>
      </c>
      <c r="I53" s="2">
        <f t="shared" si="10"/>
        <v>0.16181707723383293</v>
      </c>
      <c r="J53" s="4">
        <f t="shared" si="11"/>
        <v>6.3014384084893363E-2</v>
      </c>
      <c r="K53" s="4">
        <f t="shared" si="12"/>
        <v>0.22483146131872628</v>
      </c>
      <c r="L53" s="10">
        <f t="shared" si="13"/>
        <v>2.5679387267489906</v>
      </c>
      <c r="M53" s="2"/>
      <c r="N53" s="2"/>
      <c r="O53" s="4"/>
      <c r="Q53" s="19"/>
    </row>
    <row r="54" spans="1:17" x14ac:dyDescent="0.2">
      <c r="A54" s="4">
        <v>513154</v>
      </c>
      <c r="B54" s="4">
        <v>100</v>
      </c>
      <c r="C54" s="4">
        <v>8</v>
      </c>
      <c r="D54" s="4">
        <v>4.6500000000000004</v>
      </c>
      <c r="E54" s="4">
        <v>2.4500000000000002</v>
      </c>
      <c r="F54" s="4">
        <f t="shared" si="7"/>
        <v>4.6500000000000004</v>
      </c>
      <c r="G54" s="4">
        <f t="shared" si="8"/>
        <v>2.4500000000000002</v>
      </c>
      <c r="H54" s="4">
        <f t="shared" si="9"/>
        <v>3.913065884837013E-3</v>
      </c>
      <c r="I54" s="2">
        <f t="shared" si="10"/>
        <v>0.1547815521367098</v>
      </c>
      <c r="J54" s="4">
        <f t="shared" si="11"/>
        <v>6.1232989130301785E-2</v>
      </c>
      <c r="K54" s="4">
        <f t="shared" si="12"/>
        <v>0.21601454126701158</v>
      </c>
      <c r="L54" s="10">
        <f t="shared" si="13"/>
        <v>2.5277477767309344</v>
      </c>
      <c r="M54" s="2">
        <f t="shared" ref="M54" si="46">AVERAGE(I54:I55)</f>
        <v>0.16885260233095611</v>
      </c>
      <c r="N54" s="2">
        <f t="shared" ref="N54" si="47">AVERAGE(J54:J55)</f>
        <v>6.9204239065342371E-2</v>
      </c>
      <c r="O54" s="4"/>
      <c r="Q54" s="19"/>
    </row>
    <row r="55" spans="1:17" x14ac:dyDescent="0.2">
      <c r="B55" s="4">
        <v>100</v>
      </c>
      <c r="C55" s="4">
        <v>8</v>
      </c>
      <c r="D55" s="4">
        <v>5.55</v>
      </c>
      <c r="E55" s="4">
        <v>2.95</v>
      </c>
      <c r="F55" s="4">
        <f t="shared" si="7"/>
        <v>5.55</v>
      </c>
      <c r="G55" s="4">
        <f t="shared" si="8"/>
        <v>2.95</v>
      </c>
      <c r="H55" s="4">
        <f t="shared" si="9"/>
        <v>3.913065884837013E-3</v>
      </c>
      <c r="I55" s="2">
        <f t="shared" si="10"/>
        <v>0.1829236525252024</v>
      </c>
      <c r="J55" s="4">
        <f t="shared" si="11"/>
        <v>7.7175489000382957E-2</v>
      </c>
      <c r="K55" s="4">
        <f t="shared" si="12"/>
        <v>0.26009914152558533</v>
      </c>
      <c r="L55" s="10">
        <f t="shared" si="13"/>
        <v>2.3702299123014914</v>
      </c>
      <c r="M55" s="2"/>
      <c r="N55" s="2"/>
      <c r="O55" s="4"/>
      <c r="Q55" s="19"/>
    </row>
    <row r="56" spans="1:17" x14ac:dyDescent="0.2">
      <c r="A56" s="4">
        <v>513155</v>
      </c>
      <c r="B56" s="4">
        <v>100</v>
      </c>
      <c r="C56" s="4">
        <v>8</v>
      </c>
      <c r="D56" s="4">
        <v>5.45</v>
      </c>
      <c r="E56" s="4">
        <v>2.85</v>
      </c>
      <c r="F56" s="4">
        <f t="shared" si="7"/>
        <v>5.45</v>
      </c>
      <c r="G56" s="4">
        <f t="shared" si="8"/>
        <v>2.85</v>
      </c>
      <c r="H56" s="4">
        <f t="shared" si="9"/>
        <v>3.913065884837013E-3</v>
      </c>
      <c r="I56" s="2">
        <f t="shared" si="10"/>
        <v>0.18292365252520246</v>
      </c>
      <c r="J56" s="4">
        <f t="shared" si="11"/>
        <v>6.8358568948668152E-2</v>
      </c>
      <c r="K56" s="4">
        <f t="shared" si="12"/>
        <v>0.25128222147387058</v>
      </c>
      <c r="L56" s="10">
        <f t="shared" si="13"/>
        <v>2.675943270002676</v>
      </c>
      <c r="M56" s="2">
        <f t="shared" ref="M56" si="48">AVERAGE(I56:I57)</f>
        <v>0.21634239673653755</v>
      </c>
      <c r="N56" s="2">
        <f t="shared" ref="N56" si="49">AVERAGE(J56:J57)</f>
        <v>6.8003274931263402E-2</v>
      </c>
      <c r="O56" s="4"/>
      <c r="Q56" s="19"/>
    </row>
    <row r="57" spans="1:17" x14ac:dyDescent="0.2">
      <c r="B57" s="4">
        <v>100</v>
      </c>
      <c r="C57" s="4">
        <v>8</v>
      </c>
      <c r="D57" s="4">
        <v>7.15</v>
      </c>
      <c r="E57" s="4">
        <v>3.6</v>
      </c>
      <c r="F57" s="4">
        <f t="shared" si="7"/>
        <v>7.15</v>
      </c>
      <c r="G57" s="4">
        <f t="shared" si="8"/>
        <v>3.6</v>
      </c>
      <c r="H57" s="4">
        <f t="shared" si="9"/>
        <v>3.913065884837013E-3</v>
      </c>
      <c r="I57" s="2">
        <f t="shared" si="10"/>
        <v>0.24976114094787263</v>
      </c>
      <c r="J57" s="4">
        <f t="shared" si="11"/>
        <v>6.7647980913858638E-2</v>
      </c>
      <c r="K57" s="4">
        <f t="shared" si="12"/>
        <v>0.31740912186173126</v>
      </c>
      <c r="L57" s="10">
        <f t="shared" si="13"/>
        <v>3.6920708877610502</v>
      </c>
      <c r="M57" s="2"/>
      <c r="N57" s="2"/>
      <c r="O57" s="4"/>
      <c r="Q57" s="19"/>
    </row>
    <row r="58" spans="1:17" x14ac:dyDescent="0.2">
      <c r="A58" s="4">
        <v>513156</v>
      </c>
      <c r="B58" s="4">
        <v>100</v>
      </c>
      <c r="C58" s="4">
        <v>8</v>
      </c>
      <c r="D58" s="4">
        <v>5.45</v>
      </c>
      <c r="E58" s="4">
        <v>2.85</v>
      </c>
      <c r="F58" s="4">
        <f t="shared" si="7"/>
        <v>5.45</v>
      </c>
      <c r="G58" s="4">
        <f t="shared" si="8"/>
        <v>2.85</v>
      </c>
      <c r="H58" s="4">
        <f t="shared" si="9"/>
        <v>3.913065884837013E-3</v>
      </c>
      <c r="I58" s="2">
        <f t="shared" si="10"/>
        <v>0.18292365252520246</v>
      </c>
      <c r="J58" s="4">
        <f t="shared" si="11"/>
        <v>6.8358568948668152E-2</v>
      </c>
      <c r="K58" s="4">
        <f t="shared" si="12"/>
        <v>0.25128222147387058</v>
      </c>
      <c r="L58" s="10">
        <f t="shared" si="13"/>
        <v>2.675943270002676</v>
      </c>
      <c r="M58" s="2">
        <f t="shared" ref="M58" si="50">AVERAGE(I58:I59)</f>
        <v>0.17940588997664086</v>
      </c>
      <c r="N58" s="2">
        <f t="shared" ref="N58" si="51">AVERAGE(J58:J59)</f>
        <v>5.8650951419657593E-2</v>
      </c>
      <c r="O58" s="4"/>
      <c r="Q58" s="19"/>
    </row>
    <row r="59" spans="1:17" x14ac:dyDescent="0.2">
      <c r="B59" s="4">
        <v>100</v>
      </c>
      <c r="C59" s="4">
        <v>8</v>
      </c>
      <c r="D59" s="4">
        <v>5.05</v>
      </c>
      <c r="E59" s="4">
        <v>2.5499999999999998</v>
      </c>
      <c r="F59" s="4">
        <f t="shared" si="7"/>
        <v>5.05</v>
      </c>
      <c r="G59" s="4">
        <f t="shared" si="8"/>
        <v>2.5499999999999998</v>
      </c>
      <c r="H59" s="4">
        <f t="shared" si="9"/>
        <v>3.913065884837013E-3</v>
      </c>
      <c r="I59" s="2">
        <f t="shared" si="10"/>
        <v>0.17588812742807927</v>
      </c>
      <c r="J59" s="4">
        <f t="shared" si="11"/>
        <v>4.8943333890647027E-2</v>
      </c>
      <c r="K59" s="4">
        <f t="shared" si="12"/>
        <v>0.22483146131872631</v>
      </c>
      <c r="L59" s="10">
        <f t="shared" si="13"/>
        <v>3.5937095707673308</v>
      </c>
      <c r="M59" s="2"/>
      <c r="N59" s="2"/>
      <c r="O59" s="4"/>
      <c r="Q59" s="19"/>
    </row>
    <row r="60" spans="1:17" x14ac:dyDescent="0.2">
      <c r="B60" s="4"/>
      <c r="C60" s="4"/>
      <c r="D60" s="4"/>
      <c r="E60" s="4"/>
      <c r="F60" s="4"/>
      <c r="G60" s="4"/>
      <c r="H60" s="4"/>
      <c r="I60" s="2"/>
      <c r="J60" s="4"/>
      <c r="K60" s="4"/>
      <c r="L60" s="10"/>
      <c r="M60" s="2"/>
      <c r="N60" s="2"/>
      <c r="O60" s="12"/>
      <c r="Q60" s="19"/>
    </row>
    <row r="61" spans="1:17" x14ac:dyDescent="0.2">
      <c r="B61" s="4"/>
      <c r="C61" s="4"/>
      <c r="D61" s="4"/>
      <c r="E61" s="4"/>
      <c r="F61" s="4"/>
      <c r="G61" s="4"/>
      <c r="H61" s="4"/>
      <c r="I61" s="2"/>
      <c r="J61" s="4"/>
      <c r="K61" s="4"/>
      <c r="L61" s="10"/>
      <c r="M61" s="2"/>
      <c r="N61" s="2"/>
      <c r="Q61" s="19"/>
    </row>
    <row r="62" spans="1:17" x14ac:dyDescent="0.2">
      <c r="B62" s="4"/>
      <c r="C62" s="4"/>
      <c r="D62" s="4"/>
      <c r="E62" s="4"/>
      <c r="F62" s="4"/>
      <c r="G62" s="4"/>
      <c r="H62" s="4"/>
      <c r="I62" s="2"/>
      <c r="J62" s="4"/>
      <c r="K62" s="4"/>
      <c r="L62" s="10"/>
      <c r="M62" s="2"/>
      <c r="N62" s="2"/>
      <c r="O62" s="4"/>
      <c r="Q62" s="19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4FEB-5B3F-4BC4-91AD-095F73A0E63A}">
  <dimension ref="A1:V60"/>
  <sheetViews>
    <sheetView tabSelected="1" workbookViewId="0">
      <selection activeCell="A21" sqref="A21"/>
    </sheetView>
  </sheetViews>
  <sheetFormatPr defaultRowHeight="12.75" x14ac:dyDescent="0.2"/>
  <sheetData>
    <row r="1" spans="1:9" x14ac:dyDescent="0.2">
      <c r="A1" t="s">
        <v>34</v>
      </c>
    </row>
    <row r="2" spans="1:9" x14ac:dyDescent="0.2">
      <c r="A2" t="s">
        <v>28</v>
      </c>
    </row>
    <row r="3" spans="1:9" x14ac:dyDescent="0.2">
      <c r="A3" t="s">
        <v>0</v>
      </c>
    </row>
    <row r="4" spans="1:9" x14ac:dyDescent="0.2">
      <c r="A4" t="s">
        <v>29</v>
      </c>
    </row>
    <row r="5" spans="1:9" x14ac:dyDescent="0.2">
      <c r="A5" t="s">
        <v>26</v>
      </c>
    </row>
    <row r="7" spans="1:9" x14ac:dyDescent="0.2">
      <c r="A7" t="s">
        <v>22</v>
      </c>
      <c r="H7" t="s">
        <v>21</v>
      </c>
      <c r="I7" t="s">
        <v>24</v>
      </c>
    </row>
    <row r="8" spans="1:9" x14ac:dyDescent="0.2">
      <c r="A8">
        <v>2.2532000000000001</v>
      </c>
      <c r="H8">
        <v>1</v>
      </c>
      <c r="I8">
        <v>27.326256651270839</v>
      </c>
    </row>
    <row r="9" spans="1:9" x14ac:dyDescent="0.2">
      <c r="A9">
        <v>1.7979572294924993</v>
      </c>
      <c r="H9">
        <v>2</v>
      </c>
      <c r="I9">
        <v>8.9214155892065712</v>
      </c>
    </row>
    <row r="10" spans="1:9" x14ac:dyDescent="0.2">
      <c r="A10">
        <v>1.7979572294924993</v>
      </c>
      <c r="H10">
        <v>3</v>
      </c>
      <c r="I10">
        <v>1.6849337925250363</v>
      </c>
    </row>
    <row r="11" spans="1:9" x14ac:dyDescent="0.2">
      <c r="H11">
        <v>4</v>
      </c>
      <c r="I11">
        <v>0.53643986857369075</v>
      </c>
    </row>
    <row r="12" spans="1:9" x14ac:dyDescent="0.2">
      <c r="A12" t="s">
        <v>1</v>
      </c>
      <c r="H12">
        <v>5</v>
      </c>
      <c r="I12">
        <v>0.13721397638440844</v>
      </c>
    </row>
    <row r="13" spans="1:9" x14ac:dyDescent="0.2">
      <c r="A13" t="s">
        <v>21</v>
      </c>
      <c r="B13" t="s">
        <v>23</v>
      </c>
      <c r="C13" t="s">
        <v>21</v>
      </c>
      <c r="D13" t="s">
        <v>23</v>
      </c>
      <c r="H13">
        <v>6</v>
      </c>
      <c r="I13">
        <v>4.958061418569628E-2</v>
      </c>
    </row>
    <row r="14" spans="1:9" x14ac:dyDescent="0.2">
      <c r="A14">
        <v>1</v>
      </c>
      <c r="B14">
        <v>0</v>
      </c>
      <c r="C14">
        <v>5</v>
      </c>
      <c r="D14">
        <v>0</v>
      </c>
      <c r="H14">
        <v>7</v>
      </c>
      <c r="I14">
        <v>1.1969109850497893E-2</v>
      </c>
    </row>
    <row r="15" spans="1:9" x14ac:dyDescent="0.2">
      <c r="A15">
        <v>2</v>
      </c>
      <c r="B15">
        <v>0</v>
      </c>
      <c r="C15">
        <v>6</v>
      </c>
      <c r="D15">
        <v>0</v>
      </c>
      <c r="H15">
        <v>8</v>
      </c>
      <c r="I15">
        <v>3.913065884837013E-3</v>
      </c>
    </row>
    <row r="16" spans="1:9" x14ac:dyDescent="0.2">
      <c r="A16">
        <v>3</v>
      </c>
      <c r="B16">
        <v>0</v>
      </c>
      <c r="C16">
        <v>7</v>
      </c>
      <c r="D16">
        <v>0</v>
      </c>
    </row>
    <row r="17" spans="1:22" x14ac:dyDescent="0.2">
      <c r="A17">
        <v>4</v>
      </c>
      <c r="B17">
        <v>0</v>
      </c>
      <c r="C17">
        <v>8</v>
      </c>
      <c r="D17">
        <v>0</v>
      </c>
    </row>
    <row r="19" spans="1:22" x14ac:dyDescent="0.2">
      <c r="B19" t="s">
        <v>14</v>
      </c>
      <c r="F19" t="s">
        <v>15</v>
      </c>
    </row>
    <row r="20" spans="1:22" x14ac:dyDescent="0.2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5</v>
      </c>
      <c r="G20" t="s">
        <v>6</v>
      </c>
      <c r="H20" t="s">
        <v>7</v>
      </c>
      <c r="I20" t="s">
        <v>8</v>
      </c>
      <c r="J20" t="s">
        <v>30</v>
      </c>
      <c r="K20" t="s">
        <v>31</v>
      </c>
      <c r="L20" t="s">
        <v>9</v>
      </c>
      <c r="M20" t="s">
        <v>32</v>
      </c>
      <c r="N20" t="s">
        <v>33</v>
      </c>
      <c r="O20" t="s">
        <v>10</v>
      </c>
      <c r="P20" t="s">
        <v>11</v>
      </c>
      <c r="Q20" t="s">
        <v>12</v>
      </c>
      <c r="R20" t="s">
        <v>13</v>
      </c>
      <c r="S20" t="s">
        <v>17</v>
      </c>
      <c r="T20" t="s">
        <v>18</v>
      </c>
      <c r="U20" t="s">
        <v>19</v>
      </c>
      <c r="V20" t="s">
        <v>20</v>
      </c>
    </row>
    <row r="21" spans="1:22" x14ac:dyDescent="0.2">
      <c r="A21">
        <v>513135</v>
      </c>
      <c r="B21">
        <v>100</v>
      </c>
      <c r="C21">
        <v>8</v>
      </c>
      <c r="D21">
        <v>1.7</v>
      </c>
      <c r="E21">
        <v>1.1499999999999999</v>
      </c>
      <c r="F21">
        <v>1.7</v>
      </c>
      <c r="G21">
        <v>1.1499999999999999</v>
      </c>
      <c r="H21">
        <v>3.913065884837013E-3</v>
      </c>
      <c r="I21">
        <v>3.869538803417745E-2</v>
      </c>
      <c r="L21">
        <v>6.2699192560542252E-2</v>
      </c>
      <c r="O21">
        <v>0.1013945805947197</v>
      </c>
      <c r="P21">
        <v>0.61715927197648102</v>
      </c>
      <c r="Q21">
        <v>4.0454269308458232E-2</v>
      </c>
      <c r="R21">
        <v>6.9757231337976233E-2</v>
      </c>
    </row>
    <row r="22" spans="1:22" x14ac:dyDescent="0.2">
      <c r="B22">
        <v>100</v>
      </c>
      <c r="C22">
        <v>8</v>
      </c>
      <c r="D22">
        <v>1.95</v>
      </c>
      <c r="E22">
        <v>1.35</v>
      </c>
      <c r="F22">
        <v>1.95</v>
      </c>
      <c r="G22">
        <v>1.35</v>
      </c>
      <c r="H22">
        <v>3.913065884837013E-3</v>
      </c>
      <c r="I22">
        <v>4.2213150582739022E-2</v>
      </c>
      <c r="L22">
        <v>7.6815270115410228E-2</v>
      </c>
      <c r="O22">
        <v>0.11902842069814926</v>
      </c>
      <c r="P22">
        <v>0.54954113315381636</v>
      </c>
    </row>
    <row r="23" spans="1:22" x14ac:dyDescent="0.2">
      <c r="A23">
        <v>513136</v>
      </c>
      <c r="B23">
        <v>100</v>
      </c>
      <c r="C23">
        <v>8</v>
      </c>
      <c r="D23">
        <v>1.6</v>
      </c>
      <c r="E23">
        <v>1.1499999999999999</v>
      </c>
      <c r="F23">
        <v>1.6</v>
      </c>
      <c r="G23">
        <v>1.1499999999999999</v>
      </c>
      <c r="H23">
        <v>3.913065884837013E-3</v>
      </c>
      <c r="I23">
        <v>3.1659862937054285E-2</v>
      </c>
      <c r="L23">
        <v>6.973471765766541E-2</v>
      </c>
      <c r="O23">
        <v>0.1013945805947197</v>
      </c>
      <c r="P23">
        <v>0.45400431808551472</v>
      </c>
      <c r="Q23">
        <v>4.2213150582739029E-2</v>
      </c>
      <c r="R23">
        <v>6.579412005076675E-2</v>
      </c>
    </row>
    <row r="24" spans="1:22" x14ac:dyDescent="0.2">
      <c r="B24">
        <v>100</v>
      </c>
      <c r="C24">
        <v>8</v>
      </c>
      <c r="D24">
        <v>2.0499999999999998</v>
      </c>
      <c r="E24">
        <v>1.3</v>
      </c>
      <c r="F24">
        <v>2.0499999999999998</v>
      </c>
      <c r="G24">
        <v>1.3</v>
      </c>
      <c r="H24">
        <v>3.913065884837013E-3</v>
      </c>
      <c r="I24">
        <v>5.2766438228423765E-2</v>
      </c>
      <c r="L24">
        <v>6.1853522443868096E-2</v>
      </c>
      <c r="O24">
        <v>0.11461996067229185</v>
      </c>
      <c r="P24">
        <v>0.85308703762682492</v>
      </c>
    </row>
    <row r="25" spans="1:22" x14ac:dyDescent="0.2">
      <c r="A25">
        <v>513137</v>
      </c>
      <c r="B25">
        <v>100</v>
      </c>
      <c r="C25">
        <v>8</v>
      </c>
      <c r="D25">
        <v>2.15</v>
      </c>
      <c r="E25">
        <v>1.4</v>
      </c>
      <c r="F25">
        <v>2.15</v>
      </c>
      <c r="G25">
        <v>1.4</v>
      </c>
      <c r="H25">
        <v>3.913065884837013E-3</v>
      </c>
      <c r="I25">
        <v>5.2766438228423779E-2</v>
      </c>
      <c r="L25">
        <v>7.0670442495582811E-2</v>
      </c>
      <c r="O25">
        <v>0.12343688072400659</v>
      </c>
      <c r="P25">
        <v>0.74665498566422439</v>
      </c>
      <c r="Q25">
        <v>4.3972031857019818E-2</v>
      </c>
      <c r="R25">
        <v>7.0647928815272015E-2</v>
      </c>
    </row>
    <row r="26" spans="1:22" x14ac:dyDescent="0.2">
      <c r="B26">
        <v>100</v>
      </c>
      <c r="C26">
        <v>8</v>
      </c>
      <c r="D26">
        <v>1.7</v>
      </c>
      <c r="E26">
        <v>1.2</v>
      </c>
      <c r="F26">
        <v>1.7</v>
      </c>
      <c r="G26">
        <v>1.2</v>
      </c>
      <c r="H26">
        <v>3.913065884837013E-3</v>
      </c>
      <c r="I26">
        <v>3.5177625485615857E-2</v>
      </c>
      <c r="L26">
        <v>7.062541513496122E-2</v>
      </c>
      <c r="O26">
        <v>0.10580304062057708</v>
      </c>
      <c r="P26">
        <v>0.49808734459674864</v>
      </c>
    </row>
    <row r="27" spans="1:22" x14ac:dyDescent="0.2">
      <c r="A27">
        <v>513138</v>
      </c>
      <c r="B27">
        <v>100</v>
      </c>
      <c r="C27">
        <v>8</v>
      </c>
      <c r="D27">
        <v>2.35</v>
      </c>
      <c r="E27">
        <v>1.55</v>
      </c>
      <c r="F27">
        <v>2.35</v>
      </c>
      <c r="G27">
        <v>1.55</v>
      </c>
      <c r="H27">
        <v>3.913065884837013E-3</v>
      </c>
      <c r="I27">
        <v>5.6284200776985378E-2</v>
      </c>
      <c r="L27">
        <v>8.037806002459337E-2</v>
      </c>
      <c r="O27">
        <v>0.13666226080157876</v>
      </c>
      <c r="P27">
        <v>0.70024333455875942</v>
      </c>
      <c r="Q27">
        <v>8.9702944988320446E-2</v>
      </c>
      <c r="R27">
        <v>7.7818535994259946E-2</v>
      </c>
    </row>
    <row r="28" spans="1:22" x14ac:dyDescent="0.2">
      <c r="B28">
        <v>100</v>
      </c>
      <c r="C28">
        <v>8</v>
      </c>
      <c r="D28">
        <v>4</v>
      </c>
      <c r="E28">
        <v>2.25</v>
      </c>
      <c r="F28">
        <v>4</v>
      </c>
      <c r="G28">
        <v>2.25</v>
      </c>
      <c r="H28">
        <v>3.913065884837013E-3</v>
      </c>
      <c r="I28">
        <v>0.12312168919965551</v>
      </c>
      <c r="L28">
        <v>7.5259011963926523E-2</v>
      </c>
      <c r="O28">
        <v>0.19838070116358203</v>
      </c>
      <c r="P28">
        <v>1.6359727026269058</v>
      </c>
    </row>
    <row r="29" spans="1:22" x14ac:dyDescent="0.2">
      <c r="A29">
        <v>513139</v>
      </c>
      <c r="B29">
        <v>100</v>
      </c>
      <c r="C29">
        <v>8</v>
      </c>
      <c r="D29">
        <v>6.5</v>
      </c>
      <c r="E29">
        <v>3.55</v>
      </c>
      <c r="F29">
        <v>6.5</v>
      </c>
      <c r="G29">
        <v>3.55</v>
      </c>
      <c r="H29">
        <v>3.913065884837013E-3</v>
      </c>
      <c r="I29">
        <v>0.20754799036513355</v>
      </c>
      <c r="L29">
        <v>0.10545267147074031</v>
      </c>
      <c r="O29">
        <v>0.31300066183587383</v>
      </c>
      <c r="P29">
        <v>1.9681624701439773</v>
      </c>
      <c r="Q29">
        <v>0.20930687163941436</v>
      </c>
      <c r="R29">
        <v>9.7081100157673433E-2</v>
      </c>
    </row>
    <row r="30" spans="1:22" x14ac:dyDescent="0.2">
      <c r="B30">
        <v>100</v>
      </c>
      <c r="C30">
        <v>8</v>
      </c>
      <c r="D30">
        <v>6.4</v>
      </c>
      <c r="E30">
        <v>3.4</v>
      </c>
      <c r="F30">
        <v>6.4</v>
      </c>
      <c r="G30">
        <v>3.4</v>
      </c>
      <c r="H30">
        <v>3.913065884837013E-3</v>
      </c>
      <c r="I30">
        <v>0.21106575291369517</v>
      </c>
      <c r="L30">
        <v>8.8709528844606547E-2</v>
      </c>
      <c r="O30">
        <v>0.2997752817583017</v>
      </c>
      <c r="P30">
        <v>2.3792906541463132</v>
      </c>
    </row>
    <row r="31" spans="1:22" x14ac:dyDescent="0.2">
      <c r="A31">
        <v>513140</v>
      </c>
      <c r="B31">
        <v>100</v>
      </c>
      <c r="C31">
        <v>8</v>
      </c>
      <c r="D31">
        <v>7.15</v>
      </c>
      <c r="E31">
        <v>3.85</v>
      </c>
      <c r="F31">
        <v>7.15</v>
      </c>
      <c r="G31">
        <v>3.85</v>
      </c>
      <c r="H31">
        <v>3.913065884837013E-3</v>
      </c>
      <c r="I31">
        <v>0.2321723282050647</v>
      </c>
      <c r="L31">
        <v>0.10727909378595347</v>
      </c>
      <c r="O31">
        <v>0.33945142199101819</v>
      </c>
      <c r="P31">
        <v>2.1641898715914025</v>
      </c>
      <c r="Q31">
        <v>0.23569009075362629</v>
      </c>
      <c r="R31">
        <v>0.11478248130203535</v>
      </c>
    </row>
    <row r="32" spans="1:22" x14ac:dyDescent="0.2">
      <c r="B32">
        <v>100</v>
      </c>
      <c r="C32">
        <v>8</v>
      </c>
      <c r="D32">
        <v>7.5</v>
      </c>
      <c r="E32">
        <v>4.0999999999999996</v>
      </c>
      <c r="F32">
        <v>7.5</v>
      </c>
      <c r="G32">
        <v>4.0999999999999996</v>
      </c>
      <c r="H32">
        <v>3.913065884837013E-3</v>
      </c>
      <c r="I32">
        <v>0.23920785330218788</v>
      </c>
      <c r="L32">
        <v>0.12228586881811722</v>
      </c>
      <c r="O32">
        <v>0.36149372212030512</v>
      </c>
      <c r="P32">
        <v>1.9561365153153996</v>
      </c>
    </row>
    <row r="33" spans="1:18" x14ac:dyDescent="0.2">
      <c r="A33">
        <v>513141</v>
      </c>
      <c r="B33">
        <v>100</v>
      </c>
      <c r="C33">
        <v>7</v>
      </c>
      <c r="D33">
        <v>4</v>
      </c>
      <c r="E33">
        <v>1.95</v>
      </c>
      <c r="F33">
        <v>4</v>
      </c>
      <c r="G33">
        <v>1.95</v>
      </c>
      <c r="H33">
        <v>1.1969109850497893E-2</v>
      </c>
      <c r="I33">
        <v>0.44115892551899777</v>
      </c>
      <c r="L33">
        <v>8.4732641626268312E-2</v>
      </c>
      <c r="O33">
        <v>0.52589156714526608</v>
      </c>
      <c r="P33">
        <v>5.2064814344491328</v>
      </c>
      <c r="Q33">
        <v>0.38197906965669315</v>
      </c>
      <c r="R33">
        <v>0.10345930001586016</v>
      </c>
    </row>
    <row r="34" spans="1:18" x14ac:dyDescent="0.2">
      <c r="B34">
        <v>100</v>
      </c>
      <c r="C34">
        <v>7</v>
      </c>
      <c r="D34">
        <v>3.15</v>
      </c>
      <c r="E34">
        <v>1.65</v>
      </c>
      <c r="F34">
        <v>3.15</v>
      </c>
      <c r="G34">
        <v>1.65</v>
      </c>
      <c r="H34">
        <v>1.1969109850497893E-2</v>
      </c>
      <c r="I34">
        <v>0.32279921379438858</v>
      </c>
      <c r="L34">
        <v>0.12218595840545202</v>
      </c>
      <c r="O34">
        <v>0.44498517219984057</v>
      </c>
      <c r="P34">
        <v>2.6418683292824676</v>
      </c>
    </row>
    <row r="35" spans="1:18" x14ac:dyDescent="0.2">
      <c r="A35">
        <v>513142</v>
      </c>
      <c r="B35">
        <v>100</v>
      </c>
      <c r="C35">
        <v>7</v>
      </c>
      <c r="D35">
        <v>3.7</v>
      </c>
      <c r="E35">
        <v>1.9</v>
      </c>
      <c r="F35">
        <v>3.7</v>
      </c>
      <c r="G35">
        <v>1.9</v>
      </c>
      <c r="H35">
        <v>1.1969109850497893E-2</v>
      </c>
      <c r="I35">
        <v>0.38735905655326641</v>
      </c>
      <c r="L35">
        <v>0.12504811143442882</v>
      </c>
      <c r="O35">
        <v>0.51240716798769526</v>
      </c>
      <c r="P35">
        <v>3.0976801817305732</v>
      </c>
      <c r="Q35">
        <v>0.40887900413955891</v>
      </c>
      <c r="R35">
        <v>9.6785964269350822E-2</v>
      </c>
    </row>
    <row r="36" spans="1:18" x14ac:dyDescent="0.2">
      <c r="B36">
        <v>100</v>
      </c>
      <c r="C36">
        <v>7</v>
      </c>
      <c r="D36">
        <v>3.85</v>
      </c>
      <c r="E36">
        <v>1.85</v>
      </c>
      <c r="F36">
        <v>3.85</v>
      </c>
      <c r="G36">
        <v>1.85</v>
      </c>
      <c r="H36">
        <v>1.1969109850497893E-2</v>
      </c>
      <c r="I36">
        <v>0.43039895172585146</v>
      </c>
      <c r="L36">
        <v>6.8523817104272813E-2</v>
      </c>
      <c r="O36">
        <v>0.49892276883012426</v>
      </c>
      <c r="P36">
        <v>6.2810124992148735</v>
      </c>
    </row>
    <row r="37" spans="1:18" x14ac:dyDescent="0.2">
      <c r="A37">
        <v>513143</v>
      </c>
      <c r="B37">
        <v>100</v>
      </c>
      <c r="C37">
        <v>7</v>
      </c>
      <c r="D37">
        <v>2.75</v>
      </c>
      <c r="E37">
        <v>1.45</v>
      </c>
      <c r="F37">
        <v>2.75</v>
      </c>
      <c r="G37">
        <v>1.45</v>
      </c>
      <c r="H37">
        <v>1.1969109850497893E-2</v>
      </c>
      <c r="I37">
        <v>0.27975931862180348</v>
      </c>
      <c r="L37">
        <v>0.11128825694775339</v>
      </c>
      <c r="O37">
        <v>0.39104757556955688</v>
      </c>
      <c r="P37">
        <v>2.5138260432378088</v>
      </c>
      <c r="Q37">
        <v>0.28513930551837663</v>
      </c>
      <c r="R37">
        <v>0.12613486878753671</v>
      </c>
    </row>
    <row r="38" spans="1:18" x14ac:dyDescent="0.2">
      <c r="B38">
        <v>100</v>
      </c>
      <c r="C38">
        <v>7</v>
      </c>
      <c r="D38">
        <v>2.95</v>
      </c>
      <c r="E38">
        <v>1.6</v>
      </c>
      <c r="F38">
        <v>2.95</v>
      </c>
      <c r="G38">
        <v>1.6</v>
      </c>
      <c r="H38">
        <v>1.1969109850497893E-2</v>
      </c>
      <c r="I38">
        <v>0.29051929241494978</v>
      </c>
      <c r="L38">
        <v>0.14098148062732002</v>
      </c>
      <c r="O38">
        <v>0.4315007730422698</v>
      </c>
      <c r="P38">
        <v>2.060691171083159</v>
      </c>
    </row>
    <row r="39" spans="1:18" x14ac:dyDescent="0.2">
      <c r="A39">
        <v>513144</v>
      </c>
      <c r="B39">
        <v>100</v>
      </c>
      <c r="C39">
        <v>7</v>
      </c>
      <c r="D39">
        <v>3.65</v>
      </c>
      <c r="E39">
        <v>1.75</v>
      </c>
      <c r="F39">
        <v>3.65</v>
      </c>
      <c r="G39">
        <v>1.75</v>
      </c>
      <c r="H39">
        <v>1.1969109850497893E-2</v>
      </c>
      <c r="I39">
        <v>0.40887900413955891</v>
      </c>
      <c r="L39">
        <v>6.3074966375423439E-2</v>
      </c>
      <c r="O39">
        <v>0.47195397051498233</v>
      </c>
      <c r="P39">
        <v>6.4824292050494812</v>
      </c>
      <c r="Q39">
        <v>0.44115892551899782</v>
      </c>
      <c r="R39">
        <v>7.124824246869732E-2</v>
      </c>
    </row>
    <row r="40" spans="1:18" x14ac:dyDescent="0.2">
      <c r="A40" t="s">
        <v>27</v>
      </c>
      <c r="B40">
        <v>100</v>
      </c>
      <c r="C40">
        <v>7</v>
      </c>
      <c r="D40">
        <v>4.25</v>
      </c>
      <c r="E40">
        <v>2.0499999999999998</v>
      </c>
      <c r="F40">
        <v>4.25</v>
      </c>
      <c r="G40">
        <v>2.0499999999999998</v>
      </c>
      <c r="H40">
        <v>1.1969109850497893E-2</v>
      </c>
      <c r="I40">
        <v>0.47343884689843668</v>
      </c>
      <c r="L40">
        <v>7.9421518561971216E-2</v>
      </c>
      <c r="O40">
        <v>0.55286036546040784</v>
      </c>
      <c r="P40">
        <v>5.9610903376144924</v>
      </c>
    </row>
    <row r="41" spans="1:18" x14ac:dyDescent="0.2">
      <c r="A41">
        <v>513147</v>
      </c>
      <c r="B41">
        <v>100</v>
      </c>
      <c r="C41">
        <v>8</v>
      </c>
      <c r="D41">
        <v>1.5</v>
      </c>
      <c r="E41">
        <v>0.95</v>
      </c>
      <c r="F41">
        <v>1.5</v>
      </c>
      <c r="G41">
        <v>0.95</v>
      </c>
      <c r="H41">
        <v>3.913065884837013E-3</v>
      </c>
      <c r="I41">
        <v>3.869538803417745E-2</v>
      </c>
      <c r="L41">
        <v>4.5065352457112733E-2</v>
      </c>
      <c r="O41">
        <v>8.3760740491290175E-2</v>
      </c>
      <c r="P41">
        <v>0.85865051362912614</v>
      </c>
      <c r="Q41">
        <v>3.6936506759896653E-2</v>
      </c>
      <c r="R41">
        <v>5.3436923770179612E-2</v>
      </c>
    </row>
    <row r="42" spans="1:18" x14ac:dyDescent="0.2">
      <c r="B42">
        <v>100</v>
      </c>
      <c r="C42">
        <v>8</v>
      </c>
      <c r="D42">
        <v>1.6</v>
      </c>
      <c r="E42">
        <v>1.1000000000000001</v>
      </c>
      <c r="F42">
        <v>1.6</v>
      </c>
      <c r="G42">
        <v>1.1000000000000001</v>
      </c>
      <c r="H42">
        <v>3.913065884837013E-3</v>
      </c>
      <c r="I42">
        <v>3.5177625485615857E-2</v>
      </c>
      <c r="L42">
        <v>6.1808495083246491E-2</v>
      </c>
      <c r="O42">
        <v>9.6986120568862355E-2</v>
      </c>
      <c r="P42">
        <v>0.56913900651095017</v>
      </c>
    </row>
    <row r="43" spans="1:18" x14ac:dyDescent="0.2">
      <c r="A43">
        <v>513148</v>
      </c>
      <c r="B43">
        <v>100</v>
      </c>
      <c r="C43">
        <v>8</v>
      </c>
      <c r="D43">
        <v>2.2999999999999998</v>
      </c>
      <c r="E43">
        <v>1.55</v>
      </c>
      <c r="F43">
        <v>2.2999999999999998</v>
      </c>
      <c r="G43">
        <v>1.55</v>
      </c>
      <c r="H43">
        <v>3.913065884837013E-3</v>
      </c>
      <c r="I43">
        <v>5.2766438228423765E-2</v>
      </c>
      <c r="L43">
        <v>8.3895822573154991E-2</v>
      </c>
      <c r="O43">
        <v>0.13666226080157876</v>
      </c>
      <c r="P43">
        <v>0.6289519145296274</v>
      </c>
      <c r="Q43">
        <v>6.3319725874108529E-2</v>
      </c>
      <c r="R43">
        <v>7.5546764940398928E-2</v>
      </c>
    </row>
    <row r="44" spans="1:18" x14ac:dyDescent="0.2">
      <c r="B44">
        <v>100</v>
      </c>
      <c r="C44">
        <v>8</v>
      </c>
      <c r="D44">
        <v>2.65</v>
      </c>
      <c r="E44">
        <v>1.6</v>
      </c>
      <c r="F44">
        <v>2.65</v>
      </c>
      <c r="G44">
        <v>1.6</v>
      </c>
      <c r="H44">
        <v>3.913065884837013E-3</v>
      </c>
      <c r="I44">
        <v>7.3873013519793293E-2</v>
      </c>
      <c r="L44">
        <v>6.7197707307642865E-2</v>
      </c>
      <c r="O44">
        <v>0.14107072082743616</v>
      </c>
      <c r="P44">
        <v>1.0993383030404551</v>
      </c>
    </row>
    <row r="45" spans="1:18" x14ac:dyDescent="0.2">
      <c r="A45">
        <v>513149</v>
      </c>
      <c r="B45">
        <v>100</v>
      </c>
      <c r="C45">
        <v>8</v>
      </c>
      <c r="D45">
        <v>2.25</v>
      </c>
      <c r="E45">
        <v>1.45</v>
      </c>
      <c r="F45">
        <v>2.25</v>
      </c>
      <c r="G45">
        <v>1.45</v>
      </c>
      <c r="H45">
        <v>3.913065884837013E-3</v>
      </c>
      <c r="I45">
        <v>5.6284200776985378E-2</v>
      </c>
      <c r="L45">
        <v>7.1561139972878635E-2</v>
      </c>
      <c r="O45">
        <v>0.12784534074986401</v>
      </c>
      <c r="P45">
        <v>0.78651906325579568</v>
      </c>
      <c r="Q45">
        <v>7.3873013519793307E-2</v>
      </c>
      <c r="R45">
        <v>6.4993477294714122E-2</v>
      </c>
    </row>
    <row r="46" spans="1:18" x14ac:dyDescent="0.2">
      <c r="B46">
        <v>100</v>
      </c>
      <c r="C46">
        <v>8</v>
      </c>
      <c r="D46">
        <v>3</v>
      </c>
      <c r="E46">
        <v>1.7</v>
      </c>
      <c r="F46">
        <v>3</v>
      </c>
      <c r="G46">
        <v>1.7</v>
      </c>
      <c r="H46">
        <v>3.913065884837013E-3</v>
      </c>
      <c r="I46">
        <v>9.1461826262601228E-2</v>
      </c>
      <c r="L46">
        <v>5.8425814616549616E-2</v>
      </c>
      <c r="O46">
        <v>0.14988764087915085</v>
      </c>
      <c r="P46">
        <v>1.5654351909830946</v>
      </c>
    </row>
    <row r="47" spans="1:18" x14ac:dyDescent="0.2">
      <c r="A47">
        <v>513150</v>
      </c>
      <c r="B47">
        <v>100</v>
      </c>
      <c r="C47">
        <v>8</v>
      </c>
      <c r="D47">
        <v>3.45</v>
      </c>
      <c r="E47">
        <v>2.0499999999999998</v>
      </c>
      <c r="F47">
        <v>3.45</v>
      </c>
      <c r="G47">
        <v>2.0499999999999998</v>
      </c>
      <c r="H47">
        <v>3.913065884837013E-3</v>
      </c>
      <c r="I47">
        <v>9.8497351359724414E-2</v>
      </c>
      <c r="L47">
        <v>8.2249509700428089E-2</v>
      </c>
      <c r="O47">
        <v>0.1807468610601525</v>
      </c>
      <c r="P47">
        <v>1.197543325406738</v>
      </c>
      <c r="Q47">
        <v>0.13015721429677868</v>
      </c>
      <c r="R47">
        <v>7.2631946892660726E-2</v>
      </c>
    </row>
    <row r="48" spans="1:18" x14ac:dyDescent="0.2">
      <c r="B48">
        <v>100</v>
      </c>
      <c r="C48">
        <v>8</v>
      </c>
      <c r="D48">
        <v>4.8499999999999996</v>
      </c>
      <c r="E48">
        <v>2.5499999999999998</v>
      </c>
      <c r="F48">
        <v>4.8499999999999996</v>
      </c>
      <c r="G48">
        <v>2.5499999999999998</v>
      </c>
      <c r="H48">
        <v>3.913065884837013E-3</v>
      </c>
      <c r="I48">
        <v>0.16181707723383293</v>
      </c>
      <c r="L48">
        <v>6.3014384084893363E-2</v>
      </c>
      <c r="O48">
        <v>0.22483146131872628</v>
      </c>
      <c r="P48">
        <v>2.5679387267489906</v>
      </c>
    </row>
    <row r="49" spans="1:18" x14ac:dyDescent="0.2">
      <c r="A49">
        <v>513151</v>
      </c>
      <c r="B49">
        <v>100</v>
      </c>
      <c r="C49">
        <v>8</v>
      </c>
      <c r="D49">
        <v>5.25</v>
      </c>
      <c r="E49">
        <v>2.65</v>
      </c>
      <c r="F49">
        <v>5.25</v>
      </c>
      <c r="G49">
        <v>2.65</v>
      </c>
      <c r="H49">
        <v>3.913065884837013E-3</v>
      </c>
      <c r="I49">
        <v>0.18292365252520246</v>
      </c>
      <c r="L49">
        <v>5.0724728845238619E-2</v>
      </c>
      <c r="O49">
        <v>0.23364838137044108</v>
      </c>
      <c r="P49">
        <v>3.6062026685899764</v>
      </c>
      <c r="Q49">
        <v>0.18468253379948327</v>
      </c>
      <c r="R49">
        <v>5.5578537609743878E-2</v>
      </c>
    </row>
    <row r="50" spans="1:18" x14ac:dyDescent="0.2">
      <c r="B50">
        <v>100</v>
      </c>
      <c r="C50">
        <v>8</v>
      </c>
      <c r="D50">
        <v>5.45</v>
      </c>
      <c r="E50">
        <v>2.8</v>
      </c>
      <c r="F50">
        <v>5.45</v>
      </c>
      <c r="G50">
        <v>2.8</v>
      </c>
      <c r="H50">
        <v>3.913065884837013E-3</v>
      </c>
      <c r="I50">
        <v>0.18644141507376408</v>
      </c>
      <c r="L50">
        <v>6.0432346374249137E-2</v>
      </c>
      <c r="O50">
        <v>0.24687376144801321</v>
      </c>
      <c r="P50">
        <v>3.085126199124526</v>
      </c>
    </row>
    <row r="51" spans="1:18" x14ac:dyDescent="0.2">
      <c r="A51">
        <v>513152</v>
      </c>
      <c r="B51">
        <v>100</v>
      </c>
      <c r="C51">
        <v>8</v>
      </c>
      <c r="D51">
        <v>5.5</v>
      </c>
      <c r="E51">
        <v>2.9</v>
      </c>
      <c r="F51">
        <v>5.5</v>
      </c>
      <c r="G51">
        <v>2.9</v>
      </c>
      <c r="H51">
        <v>3.913065884837013E-3</v>
      </c>
      <c r="I51">
        <v>0.18292365252520246</v>
      </c>
      <c r="L51">
        <v>7.2767028974525513E-2</v>
      </c>
      <c r="O51">
        <v>0.25569068149972796</v>
      </c>
      <c r="P51">
        <v>2.5138260432378088</v>
      </c>
      <c r="Q51">
        <v>0.21282463418797593</v>
      </c>
      <c r="R51">
        <v>7.592949750568237E-2</v>
      </c>
    </row>
    <row r="52" spans="1:18" x14ac:dyDescent="0.2">
      <c r="B52">
        <v>100</v>
      </c>
      <c r="C52">
        <v>8</v>
      </c>
      <c r="D52">
        <v>7.1</v>
      </c>
      <c r="E52">
        <v>3.65</v>
      </c>
      <c r="F52">
        <v>7.1</v>
      </c>
      <c r="G52">
        <v>3.65</v>
      </c>
      <c r="H52">
        <v>3.913065884837013E-3</v>
      </c>
      <c r="I52">
        <v>0.24272561585074939</v>
      </c>
      <c r="L52">
        <v>7.9091966036839226E-2</v>
      </c>
      <c r="O52">
        <v>0.32181758188758863</v>
      </c>
      <c r="P52">
        <v>3.0689035563699778</v>
      </c>
    </row>
    <row r="53" spans="1:18" x14ac:dyDescent="0.2">
      <c r="A53">
        <v>513153</v>
      </c>
      <c r="B53">
        <v>100</v>
      </c>
      <c r="C53">
        <v>8</v>
      </c>
      <c r="D53">
        <v>5.15</v>
      </c>
      <c r="E53">
        <v>2.7</v>
      </c>
      <c r="F53">
        <v>5.15</v>
      </c>
      <c r="G53">
        <v>2.7</v>
      </c>
      <c r="H53">
        <v>3.913065884837013E-3</v>
      </c>
      <c r="I53">
        <v>0.17237036487951771</v>
      </c>
      <c r="L53">
        <v>6.5686476516780778E-2</v>
      </c>
      <c r="O53">
        <v>0.23805684139629849</v>
      </c>
      <c r="P53">
        <v>2.6241377832997732</v>
      </c>
      <c r="Q53">
        <v>0.1670937210566753</v>
      </c>
      <c r="R53">
        <v>6.4350430300837064E-2</v>
      </c>
    </row>
    <row r="54" spans="1:18" x14ac:dyDescent="0.2">
      <c r="B54">
        <v>100</v>
      </c>
      <c r="C54">
        <v>8</v>
      </c>
      <c r="D54">
        <v>4.8499999999999996</v>
      </c>
      <c r="E54">
        <v>2.5499999999999998</v>
      </c>
      <c r="F54">
        <v>4.8499999999999996</v>
      </c>
      <c r="G54">
        <v>2.5499999999999998</v>
      </c>
      <c r="H54">
        <v>3.913065884837013E-3</v>
      </c>
      <c r="I54">
        <v>0.16181707723383293</v>
      </c>
      <c r="L54">
        <v>6.3014384084893363E-2</v>
      </c>
      <c r="O54">
        <v>0.22483146131872628</v>
      </c>
      <c r="P54">
        <v>2.5679387267489906</v>
      </c>
    </row>
    <row r="55" spans="1:18" x14ac:dyDescent="0.2">
      <c r="A55">
        <v>513154</v>
      </c>
      <c r="B55">
        <v>100</v>
      </c>
      <c r="C55">
        <v>8</v>
      </c>
      <c r="D55">
        <v>4.6500000000000004</v>
      </c>
      <c r="E55">
        <v>2.4500000000000002</v>
      </c>
      <c r="F55">
        <v>4.6500000000000004</v>
      </c>
      <c r="G55">
        <v>2.4500000000000002</v>
      </c>
      <c r="H55">
        <v>3.913065884837013E-3</v>
      </c>
      <c r="I55">
        <v>0.1547815521367098</v>
      </c>
      <c r="L55">
        <v>6.1232989130301785E-2</v>
      </c>
      <c r="O55">
        <v>0.21601454126701158</v>
      </c>
      <c r="P55">
        <v>2.5277477767309344</v>
      </c>
      <c r="Q55">
        <v>0.16885260233095611</v>
      </c>
      <c r="R55">
        <v>6.9204239065342371E-2</v>
      </c>
    </row>
    <row r="56" spans="1:18" x14ac:dyDescent="0.2">
      <c r="B56">
        <v>100</v>
      </c>
      <c r="C56">
        <v>8</v>
      </c>
      <c r="D56">
        <v>5.55</v>
      </c>
      <c r="E56">
        <v>2.95</v>
      </c>
      <c r="F56">
        <v>5.55</v>
      </c>
      <c r="G56">
        <v>2.95</v>
      </c>
      <c r="H56">
        <v>3.913065884837013E-3</v>
      </c>
      <c r="I56">
        <v>0.1829236525252024</v>
      </c>
      <c r="L56">
        <v>7.7175489000382957E-2</v>
      </c>
      <c r="O56">
        <v>0.26009914152558533</v>
      </c>
      <c r="P56">
        <v>2.3702299123014914</v>
      </c>
    </row>
    <row r="57" spans="1:18" x14ac:dyDescent="0.2">
      <c r="A57">
        <v>513155</v>
      </c>
      <c r="B57">
        <v>100</v>
      </c>
      <c r="C57">
        <v>8</v>
      </c>
      <c r="D57">
        <v>5.45</v>
      </c>
      <c r="E57">
        <v>2.85</v>
      </c>
      <c r="F57">
        <v>5.45</v>
      </c>
      <c r="G57">
        <v>2.85</v>
      </c>
      <c r="H57">
        <v>3.913065884837013E-3</v>
      </c>
      <c r="I57">
        <v>0.18292365252520246</v>
      </c>
      <c r="L57">
        <v>6.8358568948668152E-2</v>
      </c>
      <c r="O57">
        <v>0.25128222147387058</v>
      </c>
      <c r="P57">
        <v>2.675943270002676</v>
      </c>
      <c r="Q57">
        <v>0.21634239673653755</v>
      </c>
      <c r="R57">
        <v>6.8003274931263402E-2</v>
      </c>
    </row>
    <row r="58" spans="1:18" x14ac:dyDescent="0.2">
      <c r="B58">
        <v>100</v>
      </c>
      <c r="C58">
        <v>8</v>
      </c>
      <c r="D58">
        <v>7.15</v>
      </c>
      <c r="E58">
        <v>3.6</v>
      </c>
      <c r="F58">
        <v>7.15</v>
      </c>
      <c r="G58">
        <v>3.6</v>
      </c>
      <c r="H58">
        <v>3.913065884837013E-3</v>
      </c>
      <c r="I58">
        <v>0.24976114094787263</v>
      </c>
      <c r="L58">
        <v>6.7647980913858638E-2</v>
      </c>
      <c r="O58">
        <v>0.31740912186173126</v>
      </c>
      <c r="P58">
        <v>3.6920708877610502</v>
      </c>
    </row>
    <row r="59" spans="1:18" x14ac:dyDescent="0.2">
      <c r="A59">
        <v>513156</v>
      </c>
      <c r="B59">
        <v>100</v>
      </c>
      <c r="C59">
        <v>8</v>
      </c>
      <c r="D59">
        <v>5.45</v>
      </c>
      <c r="E59">
        <v>2.85</v>
      </c>
      <c r="F59">
        <v>5.45</v>
      </c>
      <c r="G59">
        <v>2.85</v>
      </c>
      <c r="H59">
        <v>3.913065884837013E-3</v>
      </c>
      <c r="I59">
        <v>0.18292365252520246</v>
      </c>
      <c r="L59">
        <v>6.8358568948668152E-2</v>
      </c>
      <c r="O59">
        <v>0.25128222147387058</v>
      </c>
      <c r="P59">
        <v>2.675943270002676</v>
      </c>
      <c r="Q59">
        <v>0.17940588997664086</v>
      </c>
      <c r="R59">
        <v>5.8650951419657593E-2</v>
      </c>
    </row>
    <row r="60" spans="1:18" x14ac:dyDescent="0.2">
      <c r="B60">
        <v>100</v>
      </c>
      <c r="C60">
        <v>8</v>
      </c>
      <c r="D60">
        <v>5.05</v>
      </c>
      <c r="E60">
        <v>2.5499999999999998</v>
      </c>
      <c r="F60">
        <v>5.05</v>
      </c>
      <c r="G60">
        <v>2.5499999999999998</v>
      </c>
      <c r="H60">
        <v>3.913065884837013E-3</v>
      </c>
      <c r="I60">
        <v>0.17588812742807927</v>
      </c>
      <c r="L60">
        <v>4.8943333890647027E-2</v>
      </c>
      <c r="O60">
        <v>0.22483146131872631</v>
      </c>
      <c r="P60">
        <v>3.5937095707673308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Values Only</vt:lpstr>
      <vt:lpstr>Working sheet</vt:lpstr>
      <vt:lpstr>RBEDITS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Benjamin, Robert (DFO/MPO)</cp:lastModifiedBy>
  <dcterms:created xsi:type="dcterms:W3CDTF">2009-06-01T15:20:29Z</dcterms:created>
  <dcterms:modified xsi:type="dcterms:W3CDTF">2025-05-13T10:56:47Z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2021-03-12T12:57:28Z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ae5003be-36b8-4907-bbaf-0000ffd44b47</vt:lpwstr>
  </property>
</Properties>
</file>